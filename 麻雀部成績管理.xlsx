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マスター" sheetId="1" state="visible" r:id="rId1"/>
    <sheet name="設定" sheetId="2" state="hidden" r:id="rId2"/>
    <sheet name="データ" sheetId="3" state="hidden" r:id="rId3"/>
    <sheet name="第1回(4人用サンプル)" sheetId="4" state="visible" r:id="rId4"/>
    <sheet name="第1回(8人用サンプル)" sheetId="5" state="visible" r:id="rId5"/>
    <sheet name="使い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/mm/dd"/>
    <numFmt numFmtId="165" formatCode="0.0%"/>
    <numFmt numFmtId="166" formatCode="+0.0;-0.0;0.0"/>
    <numFmt numFmtId="167" formatCode="+0;-0;0"/>
  </numFmts>
  <fonts count="16">
    <font>
      <name val="Calibri"/>
      <family val="2"/>
      <color theme="1"/>
      <sz val="11"/>
      <scheme val="minor"/>
    </font>
    <font>
      <name val="游ゴシック"/>
      <b val="1"/>
      <sz val="11"/>
    </font>
    <font>
      <name val="游ゴシック"/>
      <b val="1"/>
      <color rgb="00FFFFFF"/>
      <sz val="11"/>
    </font>
    <font>
      <name val="游ゴシック"/>
      <b val="1"/>
      <color rgb="00FFFFFF"/>
    </font>
    <font>
      <name val="游ゴシック"/>
      <b val="1"/>
      <color rgb="00FFFFFF"/>
      <sz val="18"/>
    </font>
    <font>
      <name val="游ゴシック"/>
      <i val="1"/>
      <color rgb="00555555"/>
      <sz val="9"/>
    </font>
    <font>
      <name val="游ゴシック"/>
      <b val="1"/>
      <color rgb="00FFFFFF"/>
      <sz val="10"/>
    </font>
    <font>
      <name val="游ゴシック"/>
      <b val="1"/>
      <color rgb="00FFFFFF"/>
      <sz val="16"/>
    </font>
    <font>
      <name val="游ゴシック"/>
      <b val="1"/>
      <color rgb="00000000"/>
      <sz val="11"/>
    </font>
    <font>
      <name val="游ゴシック"/>
      <b val="1"/>
      <color rgb="00FFFFFF"/>
      <sz val="12"/>
    </font>
    <font>
      <name val="游ゴシック"/>
      <b val="1"/>
      <color rgb="00000000"/>
      <sz val="10"/>
    </font>
    <font>
      <name val="游ゴシック"/>
      <i val="1"/>
      <color rgb="00666666"/>
      <sz val="9"/>
    </font>
    <font>
      <name val="游ゴシック"/>
      <b val="1"/>
      <color rgb="00555555"/>
      <sz val="9"/>
    </font>
    <font>
      <name val="游ゴシック"/>
      <b val="1"/>
      <color rgb="001B3A6B"/>
      <sz val="11"/>
    </font>
    <font>
      <name val="游ゴシック"/>
      <sz val="10"/>
    </font>
    <font>
      <name val="Courier New"/>
      <color rgb="001A1A2E"/>
      <sz val="9"/>
    </font>
  </fonts>
  <fills count="18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F6B"/>
      </patternFill>
    </fill>
    <fill>
      <patternFill patternType="solid">
        <fgColor rgb="00F0F4F8"/>
      </patternFill>
    </fill>
    <fill>
      <patternFill patternType="solid">
        <fgColor rgb="00F5F8FF"/>
      </patternFill>
    </fill>
    <fill>
      <patternFill patternType="solid">
        <fgColor rgb="00FFFFFF"/>
      </patternFill>
    </fill>
    <fill>
      <patternFill patternType="solid">
        <fgColor rgb="00ECEFF1"/>
      </patternFill>
    </fill>
    <fill>
      <patternFill patternType="solid">
        <fgColor rgb="00FFFDE7"/>
      </patternFill>
    </fill>
    <fill>
      <patternFill patternType="solid">
        <fgColor rgb="00546E7A"/>
      </patternFill>
    </fill>
    <fill>
      <patternFill patternType="solid">
        <fgColor rgb="00E0F4F7"/>
      </patternFill>
    </fill>
    <fill>
      <patternFill patternType="solid">
        <fgColor rgb="002E7D32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BF360C"/>
      </patternFill>
    </fill>
    <fill>
      <patternFill patternType="solid">
        <fgColor rgb="00FBE9E7"/>
      </patternFill>
    </fill>
    <fill>
      <patternFill patternType="solid">
        <fgColor rgb="00E8F0FE"/>
      </patternFill>
    </fill>
    <fill>
      <patternFill patternType="solid">
        <fgColor rgb="00F8F8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left" vertical="center" indent="1"/>
    </xf>
    <xf numFmtId="1" fontId="0" fillId="5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left" vertical="center" indent="1"/>
    </xf>
    <xf numFmtId="1" fontId="0" fillId="6" borderId="1" applyAlignment="1" pivotButton="0" quotePrefix="0" xfId="0">
      <alignment horizontal="center" vertical="center"/>
    </xf>
    <xf numFmtId="2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center" vertical="center"/>
    </xf>
    <xf numFmtId="0" fontId="2" fillId="2" borderId="0" pivotButton="0" quotePrefix="0" xfId="0"/>
    <xf numFmtId="0" fontId="2" fillId="3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8" fillId="7" borderId="0" pivotButton="0" quotePrefix="0" xfId="0"/>
    <xf numFmtId="164" fontId="0" fillId="8" borderId="1" pivotButton="0" quotePrefix="0" xfId="0"/>
    <xf numFmtId="0" fontId="0" fillId="8" borderId="1" pivotButton="0" quotePrefix="0" xfId="0"/>
    <xf numFmtId="0" fontId="9" fillId="3" borderId="0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 indent="1"/>
    </xf>
    <xf numFmtId="0" fontId="0" fillId="10" borderId="1" applyAlignment="1" pivotButton="0" quotePrefix="0" xfId="0">
      <alignment horizontal="center" vertical="center"/>
    </xf>
    <xf numFmtId="167" fontId="0" fillId="10" borderId="1" applyAlignment="1" pivotButton="0" quotePrefix="0" xfId="0">
      <alignment horizontal="center" vertical="center"/>
    </xf>
    <xf numFmtId="166" fontId="0" fillId="1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indent="1"/>
    </xf>
    <xf numFmtId="0" fontId="0" fillId="6" borderId="1" applyAlignment="1" pivotButton="0" quotePrefix="0" xfId="0">
      <alignment horizontal="center" vertical="center"/>
    </xf>
    <xf numFmtId="167" fontId="0" fillId="6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center" vertical="center"/>
    </xf>
    <xf numFmtId="0" fontId="10" fillId="7" borderId="0" pivotButton="0" quotePrefix="0" xfId="0"/>
    <xf numFmtId="3" fontId="0" fillId="8" borderId="1" pivotButton="0" quotePrefix="0" xfId="0"/>
    <xf numFmtId="0" fontId="11" fillId="0" borderId="0" pivotButton="0" quotePrefix="0" xfId="0"/>
    <xf numFmtId="0" fontId="6" fillId="11" borderId="0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left" vertical="center" indent="1"/>
    </xf>
    <xf numFmtId="0" fontId="0" fillId="13" borderId="1" applyAlignment="1" pivotButton="0" quotePrefix="0" xfId="0">
      <alignment horizontal="center" vertical="center"/>
    </xf>
    <xf numFmtId="167" fontId="0" fillId="13" borderId="1" applyAlignment="1" pivotButton="0" quotePrefix="0" xfId="0">
      <alignment horizontal="center" vertical="center"/>
    </xf>
    <xf numFmtId="166" fontId="0" fillId="13" borderId="1" applyAlignment="1" pivotButton="0" quotePrefix="0" xfId="0">
      <alignment horizontal="center" vertical="center"/>
    </xf>
    <xf numFmtId="0" fontId="12" fillId="7" borderId="0" pivotButton="0" quotePrefix="0" xfId="0"/>
    <xf numFmtId="0" fontId="9" fillId="14" borderId="0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left" vertical="center" indent="1"/>
    </xf>
    <xf numFmtId="0" fontId="0" fillId="15" borderId="1" applyAlignment="1" pivotButton="0" quotePrefix="0" xfId="0">
      <alignment horizontal="center" vertical="center"/>
    </xf>
    <xf numFmtId="167" fontId="0" fillId="15" borderId="1" applyAlignment="1" pivotButton="0" quotePrefix="0" xfId="0">
      <alignment horizontal="center" vertical="center"/>
    </xf>
    <xf numFmtId="166" fontId="0" fillId="15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3" fillId="16" borderId="0" pivotButton="0" quotePrefix="0" xfId="0"/>
    <xf numFmtId="0" fontId="14" fillId="0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center" vertical="center"/>
    </xf>
    <xf numFmtId="0" fontId="15" fillId="17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6B"/>
    <outlinePr summaryBelow="1" summaryRight="1"/>
    <pageSetUpPr/>
  </sheetPr>
  <dimension ref="A1:L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9" customWidth="1" min="10" max="10"/>
    <col width="12" customWidth="1" min="11" max="11"/>
    <col width="11" customWidth="1" min="12" max="12"/>
  </cols>
  <sheetData>
    <row r="1" ht="48" customHeight="1">
      <c r="A1" s="1" t="inlineStr">
        <is>
          <t>麻雀部 成績マスター</t>
        </is>
      </c>
    </row>
    <row r="2" ht="18" customHeight="1">
      <c r="A2" s="2" t="inlineStr">
        <is>
          <t>※ 各回シートで「集計に追加」マクロを実行すると自動反映されます  |  参加者の追加は「設定」シートの A列へ</t>
        </is>
      </c>
    </row>
    <row r="3" ht="36" customHeight="1">
      <c r="A3" s="3" t="inlineStr">
        <is>
          <t>参加者</t>
        </is>
      </c>
      <c r="B3" s="4" t="inlineStr">
        <is>
          <t>参加
回数</t>
        </is>
      </c>
      <c r="C3" s="4" t="inlineStr">
        <is>
          <t>対局数</t>
        </is>
      </c>
      <c r="D3" s="4" t="inlineStr">
        <is>
          <t>平均
順位</t>
        </is>
      </c>
      <c r="E3" s="4" t="inlineStr">
        <is>
          <t>1位
回数</t>
        </is>
      </c>
      <c r="F3" s="4" t="inlineStr">
        <is>
          <t>2位
回数</t>
        </is>
      </c>
      <c r="G3" s="4" t="inlineStr">
        <is>
          <t>3位
回数</t>
        </is>
      </c>
      <c r="H3" s="4" t="inlineStr">
        <is>
          <t>4位
回数</t>
        </is>
      </c>
      <c r="I3" s="4" t="inlineStr">
        <is>
          <t>トップ率</t>
        </is>
      </c>
      <c r="J3" s="4" t="inlineStr">
        <is>
          <t>連対率</t>
        </is>
      </c>
      <c r="K3" s="4" t="inlineStr">
        <is>
          <t>合計収支</t>
        </is>
      </c>
      <c r="L3" s="4" t="inlineStr">
        <is>
          <t>平均収支</t>
        </is>
      </c>
    </row>
    <row r="4" ht="22" customHeight="1">
      <c r="A4" s="5" t="inlineStr">
        <is>
          <t>鈴木太郎</t>
        </is>
      </c>
      <c r="B4" s="6">
        <f>SUMPRODUCT((データ!$C$2:$C$2000=$A4)*1/COUNTIF(データ!$A$2:$A$2000,データ!$A$2:$A$2000)*(データ!$C$2:$C$2000=$A4))</f>
        <v/>
      </c>
      <c r="C4" s="6">
        <f>COUNTIF(データ!$C:$C,$A4)</f>
        <v/>
      </c>
      <c r="D4" s="7">
        <f>IFERROR(AVERAGEIF(データ!$C:$C,$A4,データ!$E:$E),"-")</f>
        <v/>
      </c>
      <c r="E4" s="6">
        <f>COUNTIFS(データ!$C:$C,$A4,データ!$E:$E,1)</f>
        <v/>
      </c>
      <c r="F4" s="6">
        <f>COUNTIFS(データ!$C:$C,$A4,データ!$E:$E,2)</f>
        <v/>
      </c>
      <c r="G4" s="6">
        <f>COUNTIFS(データ!$C:$C,$A4,データ!$E:$E,3)</f>
        <v/>
      </c>
      <c r="H4" s="6">
        <f>COUNTIFS(データ!$C:$C,$A4,データ!$E:$E,4)</f>
        <v/>
      </c>
      <c r="I4" s="8">
        <f>IFERROR(COUNTIFS(データ!$C:$C,$A4,データ!$E:$E,1)/COUNTIF(データ!$C:$C,$A4),"-")</f>
        <v/>
      </c>
      <c r="J4" s="8">
        <f>IFERROR((COUNTIFS(データ!$C:$C,$A4,データ!$E:$E,1)+COUNTIFS(データ!$C:$C,$A4,データ!$E:$E,2))/COUNTIF(データ!$C:$C,$A4),"-")</f>
        <v/>
      </c>
      <c r="K4" s="9">
        <f>SUMIF(データ!$C:$C,$A4,データ!$F:$F)</f>
        <v/>
      </c>
      <c r="L4" s="9">
        <f>IFERROR(AVERAGEIF(データ!$C:$C,$A4,データ!$F:$F),"-")</f>
        <v/>
      </c>
    </row>
    <row r="5" ht="22" customHeight="1">
      <c r="A5" s="10" t="inlineStr">
        <is>
          <t>田中花子</t>
        </is>
      </c>
      <c r="B5" s="11">
        <f>SUMPRODUCT((データ!$C$2:$C$2000=$A5)*1/COUNTIF(データ!$A$2:$A$2000,データ!$A$2:$A$2000)*(データ!$C$2:$C$2000=$A5))</f>
        <v/>
      </c>
      <c r="C5" s="11">
        <f>COUNTIF(データ!$C:$C,$A5)</f>
        <v/>
      </c>
      <c r="D5" s="12">
        <f>IFERROR(AVERAGEIF(データ!$C:$C,$A5,データ!$E:$E),"-")</f>
        <v/>
      </c>
      <c r="E5" s="11">
        <f>COUNTIFS(データ!$C:$C,$A5,データ!$E:$E,1)</f>
        <v/>
      </c>
      <c r="F5" s="11">
        <f>COUNTIFS(データ!$C:$C,$A5,データ!$E:$E,2)</f>
        <v/>
      </c>
      <c r="G5" s="11">
        <f>COUNTIFS(データ!$C:$C,$A5,データ!$E:$E,3)</f>
        <v/>
      </c>
      <c r="H5" s="11">
        <f>COUNTIFS(データ!$C:$C,$A5,データ!$E:$E,4)</f>
        <v/>
      </c>
      <c r="I5" s="13">
        <f>IFERROR(COUNTIFS(データ!$C:$C,$A5,データ!$E:$E,1)/COUNTIF(データ!$C:$C,$A5),"-")</f>
        <v/>
      </c>
      <c r="J5" s="13">
        <f>IFERROR((COUNTIFS(データ!$C:$C,$A5,データ!$E:$E,1)+COUNTIFS(データ!$C:$C,$A5,データ!$E:$E,2))/COUNTIF(データ!$C:$C,$A5),"-")</f>
        <v/>
      </c>
      <c r="K5" s="14">
        <f>SUMIF(データ!$C:$C,$A5,データ!$F:$F)</f>
        <v/>
      </c>
      <c r="L5" s="14">
        <f>IFERROR(AVERAGEIF(データ!$C:$C,$A5,データ!$F:$F),"-")</f>
        <v/>
      </c>
    </row>
    <row r="6" ht="22" customHeight="1">
      <c r="A6" s="5" t="inlineStr">
        <is>
          <t>佐藤一郎</t>
        </is>
      </c>
      <c r="B6" s="6">
        <f>SUMPRODUCT((データ!$C$2:$C$2000=$A6)*1/COUNTIF(データ!$A$2:$A$2000,データ!$A$2:$A$2000)*(データ!$C$2:$C$2000=$A6))</f>
        <v/>
      </c>
      <c r="C6" s="6">
        <f>COUNTIF(データ!$C:$C,$A6)</f>
        <v/>
      </c>
      <c r="D6" s="7">
        <f>IFERROR(AVERAGEIF(データ!$C:$C,$A6,データ!$E:$E),"-")</f>
        <v/>
      </c>
      <c r="E6" s="6">
        <f>COUNTIFS(データ!$C:$C,$A6,データ!$E:$E,1)</f>
        <v/>
      </c>
      <c r="F6" s="6">
        <f>COUNTIFS(データ!$C:$C,$A6,データ!$E:$E,2)</f>
        <v/>
      </c>
      <c r="G6" s="6">
        <f>COUNTIFS(データ!$C:$C,$A6,データ!$E:$E,3)</f>
        <v/>
      </c>
      <c r="H6" s="6">
        <f>COUNTIFS(データ!$C:$C,$A6,データ!$E:$E,4)</f>
        <v/>
      </c>
      <c r="I6" s="8">
        <f>IFERROR(COUNTIFS(データ!$C:$C,$A6,データ!$E:$E,1)/COUNTIF(データ!$C:$C,$A6),"-")</f>
        <v/>
      </c>
      <c r="J6" s="8">
        <f>IFERROR((COUNTIFS(データ!$C:$C,$A6,データ!$E:$E,1)+COUNTIFS(データ!$C:$C,$A6,データ!$E:$E,2))/COUNTIF(データ!$C:$C,$A6),"-")</f>
        <v/>
      </c>
      <c r="K6" s="9">
        <f>SUMIF(データ!$C:$C,$A6,データ!$F:$F)</f>
        <v/>
      </c>
      <c r="L6" s="9">
        <f>IFERROR(AVERAGEIF(データ!$C:$C,$A6,データ!$F:$F),"-")</f>
        <v/>
      </c>
    </row>
    <row r="7" ht="22" customHeight="1">
      <c r="A7" s="10" t="inlineStr">
        <is>
          <t>山田次郎</t>
        </is>
      </c>
      <c r="B7" s="11">
        <f>SUMPRODUCT((データ!$C$2:$C$2000=$A7)*1/COUNTIF(データ!$A$2:$A$2000,データ!$A$2:$A$2000)*(データ!$C$2:$C$2000=$A7))</f>
        <v/>
      </c>
      <c r="C7" s="11">
        <f>COUNTIF(データ!$C:$C,$A7)</f>
        <v/>
      </c>
      <c r="D7" s="12">
        <f>IFERROR(AVERAGEIF(データ!$C:$C,$A7,データ!$E:$E),"-")</f>
        <v/>
      </c>
      <c r="E7" s="11">
        <f>COUNTIFS(データ!$C:$C,$A7,データ!$E:$E,1)</f>
        <v/>
      </c>
      <c r="F7" s="11">
        <f>COUNTIFS(データ!$C:$C,$A7,データ!$E:$E,2)</f>
        <v/>
      </c>
      <c r="G7" s="11">
        <f>COUNTIFS(データ!$C:$C,$A7,データ!$E:$E,3)</f>
        <v/>
      </c>
      <c r="H7" s="11">
        <f>COUNTIFS(データ!$C:$C,$A7,データ!$E:$E,4)</f>
        <v/>
      </c>
      <c r="I7" s="13">
        <f>IFERROR(COUNTIFS(データ!$C:$C,$A7,データ!$E:$E,1)/COUNTIF(データ!$C:$C,$A7),"-")</f>
        <v/>
      </c>
      <c r="J7" s="13">
        <f>IFERROR((COUNTIFS(データ!$C:$C,$A7,データ!$E:$E,1)+COUNTIFS(データ!$C:$C,$A7,データ!$E:$E,2))/COUNTIF(データ!$C:$C,$A7),"-")</f>
        <v/>
      </c>
      <c r="K7" s="14">
        <f>SUMIF(データ!$C:$C,$A7,データ!$F:$F)</f>
        <v/>
      </c>
      <c r="L7" s="14">
        <f>IFERROR(AVERAGEIF(データ!$C:$C,$A7,データ!$F:$F),"-")</f>
        <v/>
      </c>
    </row>
    <row r="8" ht="22" customHeight="1">
      <c r="A8" s="5" t="inlineStr">
        <is>
          <t>伊藤三郎</t>
        </is>
      </c>
      <c r="B8" s="6">
        <f>SUMPRODUCT((データ!$C$2:$C$2000=$A8)*1/COUNTIF(データ!$A$2:$A$2000,データ!$A$2:$A$2000)*(データ!$C$2:$C$2000=$A8))</f>
        <v/>
      </c>
      <c r="C8" s="6">
        <f>COUNTIF(データ!$C:$C,$A8)</f>
        <v/>
      </c>
      <c r="D8" s="7">
        <f>IFERROR(AVERAGEIF(データ!$C:$C,$A8,データ!$E:$E),"-")</f>
        <v/>
      </c>
      <c r="E8" s="6">
        <f>COUNTIFS(データ!$C:$C,$A8,データ!$E:$E,1)</f>
        <v/>
      </c>
      <c r="F8" s="6">
        <f>COUNTIFS(データ!$C:$C,$A8,データ!$E:$E,2)</f>
        <v/>
      </c>
      <c r="G8" s="6">
        <f>COUNTIFS(データ!$C:$C,$A8,データ!$E:$E,3)</f>
        <v/>
      </c>
      <c r="H8" s="6">
        <f>COUNTIFS(データ!$C:$C,$A8,データ!$E:$E,4)</f>
        <v/>
      </c>
      <c r="I8" s="8">
        <f>IFERROR(COUNTIFS(データ!$C:$C,$A8,データ!$E:$E,1)/COUNTIF(データ!$C:$C,$A8),"-")</f>
        <v/>
      </c>
      <c r="J8" s="8">
        <f>IFERROR((COUNTIFS(データ!$C:$C,$A8,データ!$E:$E,1)+COUNTIFS(データ!$C:$C,$A8,データ!$E:$E,2))/COUNTIF(データ!$C:$C,$A8),"-")</f>
        <v/>
      </c>
      <c r="K8" s="9">
        <f>SUMIF(データ!$C:$C,$A8,データ!$F:$F)</f>
        <v/>
      </c>
      <c r="L8" s="9">
        <f>IFERROR(AVERAGEIF(データ!$C:$C,$A8,データ!$F:$F),"-")</f>
        <v/>
      </c>
    </row>
    <row r="9" ht="22" customHeight="1">
      <c r="A9" s="10" t="inlineStr">
        <is>
          <t>渡辺四郎</t>
        </is>
      </c>
      <c r="B9" s="11">
        <f>SUMPRODUCT((データ!$C$2:$C$2000=$A9)*1/COUNTIF(データ!$A$2:$A$2000,データ!$A$2:$A$2000)*(データ!$C$2:$C$2000=$A9))</f>
        <v/>
      </c>
      <c r="C9" s="11">
        <f>COUNTIF(データ!$C:$C,$A9)</f>
        <v/>
      </c>
      <c r="D9" s="12">
        <f>IFERROR(AVERAGEIF(データ!$C:$C,$A9,データ!$E:$E),"-")</f>
        <v/>
      </c>
      <c r="E9" s="11">
        <f>COUNTIFS(データ!$C:$C,$A9,データ!$E:$E,1)</f>
        <v/>
      </c>
      <c r="F9" s="11">
        <f>COUNTIFS(データ!$C:$C,$A9,データ!$E:$E,2)</f>
        <v/>
      </c>
      <c r="G9" s="11">
        <f>COUNTIFS(データ!$C:$C,$A9,データ!$E:$E,3)</f>
        <v/>
      </c>
      <c r="H9" s="11">
        <f>COUNTIFS(データ!$C:$C,$A9,データ!$E:$E,4)</f>
        <v/>
      </c>
      <c r="I9" s="13">
        <f>IFERROR(COUNTIFS(データ!$C:$C,$A9,データ!$E:$E,1)/COUNTIF(データ!$C:$C,$A9),"-")</f>
        <v/>
      </c>
      <c r="J9" s="13">
        <f>IFERROR((COUNTIFS(データ!$C:$C,$A9,データ!$E:$E,1)+COUNTIFS(データ!$C:$C,$A9,データ!$E:$E,2))/COUNTIF(データ!$C:$C,$A9),"-")</f>
        <v/>
      </c>
      <c r="K9" s="14">
        <f>SUMIF(データ!$C:$C,$A9,データ!$F:$F)</f>
        <v/>
      </c>
      <c r="L9" s="14">
        <f>IFERROR(AVERAGEIF(データ!$C:$C,$A9,データ!$F:$F),"-")</f>
        <v/>
      </c>
    </row>
    <row r="10" ht="22" customHeight="1">
      <c r="A10" s="5" t="inlineStr">
        <is>
          <t>中村五郎</t>
        </is>
      </c>
      <c r="B10" s="6">
        <f>SUMPRODUCT((データ!$C$2:$C$2000=$A10)*1/COUNTIF(データ!$A$2:$A$2000,データ!$A$2:$A$2000)*(データ!$C$2:$C$2000=$A10))</f>
        <v/>
      </c>
      <c r="C10" s="6">
        <f>COUNTIF(データ!$C:$C,$A10)</f>
        <v/>
      </c>
      <c r="D10" s="7">
        <f>IFERROR(AVERAGEIF(データ!$C:$C,$A10,データ!$E:$E),"-")</f>
        <v/>
      </c>
      <c r="E10" s="6">
        <f>COUNTIFS(データ!$C:$C,$A10,データ!$E:$E,1)</f>
        <v/>
      </c>
      <c r="F10" s="6">
        <f>COUNTIFS(データ!$C:$C,$A10,データ!$E:$E,2)</f>
        <v/>
      </c>
      <c r="G10" s="6">
        <f>COUNTIFS(データ!$C:$C,$A10,データ!$E:$E,3)</f>
        <v/>
      </c>
      <c r="H10" s="6">
        <f>COUNTIFS(データ!$C:$C,$A10,データ!$E:$E,4)</f>
        <v/>
      </c>
      <c r="I10" s="8">
        <f>IFERROR(COUNTIFS(データ!$C:$C,$A10,データ!$E:$E,1)/COUNTIF(データ!$C:$C,$A10),"-")</f>
        <v/>
      </c>
      <c r="J10" s="8">
        <f>IFERROR((COUNTIFS(データ!$C:$C,$A10,データ!$E:$E,1)+COUNTIFS(データ!$C:$C,$A10,データ!$E:$E,2))/COUNTIF(データ!$C:$C,$A10),"-")</f>
        <v/>
      </c>
      <c r="K10" s="9">
        <f>SUMIF(データ!$C:$C,$A10,データ!$F:$F)</f>
        <v/>
      </c>
      <c r="L10" s="9">
        <f>IFERROR(AVERAGEIF(データ!$C:$C,$A10,データ!$F:$F),"-")</f>
        <v/>
      </c>
    </row>
    <row r="11" ht="22" customHeight="1">
      <c r="A11" s="10" t="inlineStr">
        <is>
          <t>小林六郎</t>
        </is>
      </c>
      <c r="B11" s="11">
        <f>SUMPRODUCT((データ!$C$2:$C$2000=$A11)*1/COUNTIF(データ!$A$2:$A$2000,データ!$A$2:$A$2000)*(データ!$C$2:$C$2000=$A11))</f>
        <v/>
      </c>
      <c r="C11" s="11">
        <f>COUNTIF(データ!$C:$C,$A11)</f>
        <v/>
      </c>
      <c r="D11" s="12">
        <f>IFERROR(AVERAGEIF(データ!$C:$C,$A11,データ!$E:$E),"-")</f>
        <v/>
      </c>
      <c r="E11" s="11">
        <f>COUNTIFS(データ!$C:$C,$A11,データ!$E:$E,1)</f>
        <v/>
      </c>
      <c r="F11" s="11">
        <f>COUNTIFS(データ!$C:$C,$A11,データ!$E:$E,2)</f>
        <v/>
      </c>
      <c r="G11" s="11">
        <f>COUNTIFS(データ!$C:$C,$A11,データ!$E:$E,3)</f>
        <v/>
      </c>
      <c r="H11" s="11">
        <f>COUNTIFS(データ!$C:$C,$A11,データ!$E:$E,4)</f>
        <v/>
      </c>
      <c r="I11" s="13">
        <f>IFERROR(COUNTIFS(データ!$C:$C,$A11,データ!$E:$E,1)/COUNTIF(データ!$C:$C,$A11),"-")</f>
        <v/>
      </c>
      <c r="J11" s="13">
        <f>IFERROR((COUNTIFS(データ!$C:$C,$A11,データ!$E:$E,1)+COUNTIFS(データ!$C:$C,$A11,データ!$E:$E,2))/COUNTIF(データ!$C:$C,$A11),"-")</f>
        <v/>
      </c>
      <c r="K11" s="14">
        <f>SUMIF(データ!$C:$C,$A11,データ!$F:$F)</f>
        <v/>
      </c>
      <c r="L11" s="14">
        <f>IFERROR(AVERAGEIF(データ!$C:$C,$A11,データ!$F:$F),"-")</f>
        <v/>
      </c>
    </row>
    <row r="12" ht="22" customHeight="1">
      <c r="A12" s="5" t="inlineStr">
        <is>
          <t>加藤七海</t>
        </is>
      </c>
      <c r="B12" s="6">
        <f>SUMPRODUCT((データ!$C$2:$C$2000=$A12)*1/COUNTIF(データ!$A$2:$A$2000,データ!$A$2:$A$2000)*(データ!$C$2:$C$2000=$A12))</f>
        <v/>
      </c>
      <c r="C12" s="6">
        <f>COUNTIF(データ!$C:$C,$A12)</f>
        <v/>
      </c>
      <c r="D12" s="7">
        <f>IFERROR(AVERAGEIF(データ!$C:$C,$A12,データ!$E:$E),"-")</f>
        <v/>
      </c>
      <c r="E12" s="6">
        <f>COUNTIFS(データ!$C:$C,$A12,データ!$E:$E,1)</f>
        <v/>
      </c>
      <c r="F12" s="6">
        <f>COUNTIFS(データ!$C:$C,$A12,データ!$E:$E,2)</f>
        <v/>
      </c>
      <c r="G12" s="6">
        <f>COUNTIFS(データ!$C:$C,$A12,データ!$E:$E,3)</f>
        <v/>
      </c>
      <c r="H12" s="6">
        <f>COUNTIFS(データ!$C:$C,$A12,データ!$E:$E,4)</f>
        <v/>
      </c>
      <c r="I12" s="8">
        <f>IFERROR(COUNTIFS(データ!$C:$C,$A12,データ!$E:$E,1)/COUNTIF(データ!$C:$C,$A12),"-")</f>
        <v/>
      </c>
      <c r="J12" s="8">
        <f>IFERROR((COUNTIFS(データ!$C:$C,$A12,データ!$E:$E,1)+COUNTIFS(データ!$C:$C,$A12,データ!$E:$E,2))/COUNTIF(データ!$C:$C,$A12),"-")</f>
        <v/>
      </c>
      <c r="K12" s="9">
        <f>SUMIF(データ!$C:$C,$A12,データ!$F:$F)</f>
        <v/>
      </c>
      <c r="L12" s="9">
        <f>IFERROR(AVERAGEIF(データ!$C:$C,$A12,データ!$F:$F),"-")</f>
        <v/>
      </c>
    </row>
    <row r="13" ht="22" customHeight="1">
      <c r="A13" s="10" t="inlineStr">
        <is>
          <t>吉田八重</t>
        </is>
      </c>
      <c r="B13" s="11">
        <f>SUMPRODUCT((データ!$C$2:$C$2000=$A13)*1/COUNTIF(データ!$A$2:$A$2000,データ!$A$2:$A$2000)*(データ!$C$2:$C$2000=$A13))</f>
        <v/>
      </c>
      <c r="C13" s="11">
        <f>COUNTIF(データ!$C:$C,$A13)</f>
        <v/>
      </c>
      <c r="D13" s="12">
        <f>IFERROR(AVERAGEIF(データ!$C:$C,$A13,データ!$E:$E),"-")</f>
        <v/>
      </c>
      <c r="E13" s="11">
        <f>COUNTIFS(データ!$C:$C,$A13,データ!$E:$E,1)</f>
        <v/>
      </c>
      <c r="F13" s="11">
        <f>COUNTIFS(データ!$C:$C,$A13,データ!$E:$E,2)</f>
        <v/>
      </c>
      <c r="G13" s="11">
        <f>COUNTIFS(データ!$C:$C,$A13,データ!$E:$E,3)</f>
        <v/>
      </c>
      <c r="H13" s="11">
        <f>COUNTIFS(データ!$C:$C,$A13,データ!$E:$E,4)</f>
        <v/>
      </c>
      <c r="I13" s="13">
        <f>IFERROR(COUNTIFS(データ!$C:$C,$A13,データ!$E:$E,1)/COUNTIF(データ!$C:$C,$A13),"-")</f>
        <v/>
      </c>
      <c r="J13" s="13">
        <f>IFERROR((COUNTIFS(データ!$C:$C,$A13,データ!$E:$E,1)+COUNTIFS(データ!$C:$C,$A13,データ!$E:$E,2))/COUNTIF(データ!$C:$C,$A13),"-")</f>
        <v/>
      </c>
      <c r="K13" s="14">
        <f>SUMIF(データ!$C:$C,$A13,データ!$F:$F)</f>
        <v/>
      </c>
      <c r="L13" s="14">
        <f>IFERROR(AVERAGEIF(データ!$C:$C,$A13,データ!$F:$F),"-")</f>
        <v/>
      </c>
    </row>
    <row r="14" ht="22" customHeight="1">
      <c r="A14" s="5" t="inlineStr">
        <is>
          <t>山本九太</t>
        </is>
      </c>
      <c r="B14" s="6">
        <f>SUMPRODUCT((データ!$C$2:$C$2000=$A14)*1/COUNTIF(データ!$A$2:$A$2000,データ!$A$2:$A$2000)*(データ!$C$2:$C$2000=$A14))</f>
        <v/>
      </c>
      <c r="C14" s="6">
        <f>COUNTIF(データ!$C:$C,$A14)</f>
        <v/>
      </c>
      <c r="D14" s="7">
        <f>IFERROR(AVERAGEIF(データ!$C:$C,$A14,データ!$E:$E),"-")</f>
        <v/>
      </c>
      <c r="E14" s="6">
        <f>COUNTIFS(データ!$C:$C,$A14,データ!$E:$E,1)</f>
        <v/>
      </c>
      <c r="F14" s="6">
        <f>COUNTIFS(データ!$C:$C,$A14,データ!$E:$E,2)</f>
        <v/>
      </c>
      <c r="G14" s="6">
        <f>COUNTIFS(データ!$C:$C,$A14,データ!$E:$E,3)</f>
        <v/>
      </c>
      <c r="H14" s="6">
        <f>COUNTIFS(データ!$C:$C,$A14,データ!$E:$E,4)</f>
        <v/>
      </c>
      <c r="I14" s="8">
        <f>IFERROR(COUNTIFS(データ!$C:$C,$A14,データ!$E:$E,1)/COUNTIF(データ!$C:$C,$A14),"-")</f>
        <v/>
      </c>
      <c r="J14" s="8">
        <f>IFERROR((COUNTIFS(データ!$C:$C,$A14,データ!$E:$E,1)+COUNTIFS(データ!$C:$C,$A14,データ!$E:$E,2))/COUNTIF(データ!$C:$C,$A14),"-")</f>
        <v/>
      </c>
      <c r="K14" s="9">
        <f>SUMIF(データ!$C:$C,$A14,データ!$F:$F)</f>
        <v/>
      </c>
      <c r="L14" s="9">
        <f>IFERROR(AVERAGEIF(データ!$C:$C,$A14,データ!$F:$F),"-")</f>
        <v/>
      </c>
    </row>
    <row r="15" ht="22" customHeight="1">
      <c r="A15" s="10" t="inlineStr">
        <is>
          <t>松本十子</t>
        </is>
      </c>
      <c r="B15" s="11">
        <f>SUMPRODUCT((データ!$C$2:$C$2000=$A15)*1/COUNTIF(データ!$A$2:$A$2000,データ!$A$2:$A$2000)*(データ!$C$2:$C$2000=$A15))</f>
        <v/>
      </c>
      <c r="C15" s="11">
        <f>COUNTIF(データ!$C:$C,$A15)</f>
        <v/>
      </c>
      <c r="D15" s="12">
        <f>IFERROR(AVERAGEIF(データ!$C:$C,$A15,データ!$E:$E),"-")</f>
        <v/>
      </c>
      <c r="E15" s="11">
        <f>COUNTIFS(データ!$C:$C,$A15,データ!$E:$E,1)</f>
        <v/>
      </c>
      <c r="F15" s="11">
        <f>COUNTIFS(データ!$C:$C,$A15,データ!$E:$E,2)</f>
        <v/>
      </c>
      <c r="G15" s="11">
        <f>COUNTIFS(データ!$C:$C,$A15,データ!$E:$E,3)</f>
        <v/>
      </c>
      <c r="H15" s="11">
        <f>COUNTIFS(データ!$C:$C,$A15,データ!$E:$E,4)</f>
        <v/>
      </c>
      <c r="I15" s="13">
        <f>IFERROR(COUNTIFS(データ!$C:$C,$A15,データ!$E:$E,1)/COUNTIF(データ!$C:$C,$A15),"-")</f>
        <v/>
      </c>
      <c r="J15" s="13">
        <f>IFERROR((COUNTIFS(データ!$C:$C,$A15,データ!$E:$E,1)+COUNTIFS(データ!$C:$C,$A15,データ!$E:$E,2))/COUNTIF(データ!$C:$C,$A15),"-")</f>
        <v/>
      </c>
      <c r="K15" s="14">
        <f>SUMIF(データ!$C:$C,$A15,データ!$F:$F)</f>
        <v/>
      </c>
      <c r="L15" s="14">
        <f>IFERROR(AVERAGEIF(データ!$C:$C,$A15,データ!$F:$F),"-")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3" max="3"/>
    <col width="8" customWidth="1" min="4" max="4"/>
  </cols>
  <sheetData>
    <row r="1">
      <c r="A1" s="15" t="inlineStr">
        <is>
          <t>参加者リスト（ここに追加）</t>
        </is>
      </c>
      <c r="C1" s="16" t="inlineStr">
        <is>
          <t>ウマ設定</t>
        </is>
      </c>
    </row>
    <row r="2">
      <c r="A2" t="inlineStr">
        <is>
          <t>鈴木太郎</t>
        </is>
      </c>
      <c r="C2" t="inlineStr">
        <is>
          <t>1位</t>
        </is>
      </c>
      <c r="D2" t="n">
        <v>20</v>
      </c>
    </row>
    <row r="3">
      <c r="A3" t="inlineStr">
        <is>
          <t>田中花子</t>
        </is>
      </c>
      <c r="C3" t="inlineStr">
        <is>
          <t>2位</t>
        </is>
      </c>
      <c r="D3" t="n">
        <v>10</v>
      </c>
    </row>
    <row r="4">
      <c r="A4" t="inlineStr">
        <is>
          <t>佐藤一郎</t>
        </is>
      </c>
      <c r="C4" t="inlineStr">
        <is>
          <t>3位</t>
        </is>
      </c>
      <c r="D4" t="n">
        <v>-10</v>
      </c>
    </row>
    <row r="5">
      <c r="A5" t="inlineStr">
        <is>
          <t>山田次郎</t>
        </is>
      </c>
      <c r="C5" t="inlineStr">
        <is>
          <t>4位</t>
        </is>
      </c>
      <c r="D5" t="n">
        <v>-20</v>
      </c>
    </row>
    <row r="6">
      <c r="A6" t="inlineStr">
        <is>
          <t>伊藤三郎</t>
        </is>
      </c>
      <c r="C6" t="inlineStr">
        <is>
          <t>返し点</t>
        </is>
      </c>
    </row>
    <row r="7">
      <c r="A7" t="inlineStr">
        <is>
          <t>渡辺四郎</t>
        </is>
      </c>
      <c r="C7" t="n">
        <v>30000</v>
      </c>
    </row>
    <row r="8">
      <c r="A8" t="inlineStr">
        <is>
          <t>中村五郎</t>
        </is>
      </c>
    </row>
    <row r="9">
      <c r="A9" t="inlineStr">
        <is>
          <t>小林六郎</t>
        </is>
      </c>
    </row>
    <row r="10">
      <c r="A10" t="inlineStr">
        <is>
          <t>加藤七海</t>
        </is>
      </c>
    </row>
    <row r="11">
      <c r="A11" t="inlineStr">
        <is>
          <t>吉田八重</t>
        </is>
      </c>
    </row>
    <row r="12">
      <c r="A12" t="inlineStr">
        <is>
          <t>山本九太</t>
        </is>
      </c>
    </row>
    <row r="13">
      <c r="A13" t="inlineStr">
        <is>
          <t>松本十子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7" customWidth="1" min="4" max="4"/>
    <col width="7" customWidth="1" min="5" max="5"/>
    <col width="12" customWidth="1" min="6" max="6"/>
  </cols>
  <sheetData>
    <row r="1" ht="25" customHeight="1">
      <c r="A1" s="17" t="inlineStr">
        <is>
          <t>回数</t>
        </is>
      </c>
      <c r="B1" s="17" t="inlineStr">
        <is>
          <t>日付</t>
        </is>
      </c>
      <c r="C1" s="17" t="inlineStr">
        <is>
          <t>参加者名</t>
        </is>
      </c>
      <c r="D1" s="17" t="inlineStr">
        <is>
          <t>卓</t>
        </is>
      </c>
      <c r="E1" s="17" t="inlineStr">
        <is>
          <t>順位</t>
        </is>
      </c>
      <c r="F1" s="17" t="inlineStr">
        <is>
          <t>点数</t>
        </is>
      </c>
    </row>
    <row r="2">
      <c r="A2" s="18" t="n">
        <v>1</v>
      </c>
      <c r="B2" s="19" t="inlineStr">
        <is>
          <t>2024/01/20</t>
        </is>
      </c>
      <c r="C2" s="18" t="inlineStr">
        <is>
          <t>鈴木太郎</t>
        </is>
      </c>
      <c r="D2" s="18" t="inlineStr">
        <is>
          <t>-</t>
        </is>
      </c>
      <c r="E2" s="18" t="n">
        <v>1</v>
      </c>
      <c r="F2" s="18" t="n">
        <v>42000</v>
      </c>
    </row>
    <row r="3">
      <c r="A3" s="18" t="n">
        <v>1</v>
      </c>
      <c r="B3" s="19" t="inlineStr">
        <is>
          <t>2024/01/20</t>
        </is>
      </c>
      <c r="C3" s="18" t="inlineStr">
        <is>
          <t>田中花子</t>
        </is>
      </c>
      <c r="D3" s="18" t="inlineStr">
        <is>
          <t>-</t>
        </is>
      </c>
      <c r="E3" s="18" t="n">
        <v>2</v>
      </c>
      <c r="F3" s="18" t="n">
        <v>27000</v>
      </c>
    </row>
    <row r="4">
      <c r="A4" s="18" t="n">
        <v>1</v>
      </c>
      <c r="B4" s="19" t="inlineStr">
        <is>
          <t>2024/01/20</t>
        </is>
      </c>
      <c r="C4" s="18" t="inlineStr">
        <is>
          <t>佐藤一郎</t>
        </is>
      </c>
      <c r="D4" s="18" t="inlineStr">
        <is>
          <t>-</t>
        </is>
      </c>
      <c r="E4" s="18" t="n">
        <v>3</v>
      </c>
      <c r="F4" s="18" t="n">
        <v>18000</v>
      </c>
    </row>
    <row r="5">
      <c r="A5" s="18" t="n">
        <v>1</v>
      </c>
      <c r="B5" s="19" t="inlineStr">
        <is>
          <t>2024/01/20</t>
        </is>
      </c>
      <c r="C5" s="18" t="inlineStr">
        <is>
          <t>山田次郎</t>
        </is>
      </c>
      <c r="D5" s="18" t="inlineStr">
        <is>
          <t>-</t>
        </is>
      </c>
      <c r="E5" s="18" t="n">
        <v>4</v>
      </c>
      <c r="F5" s="18" t="n">
        <v>9000</v>
      </c>
    </row>
    <row r="6">
      <c r="A6" s="18" t="n">
        <v>2</v>
      </c>
      <c r="B6" s="19" t="inlineStr">
        <is>
          <t>2024/02/17</t>
        </is>
      </c>
      <c r="C6" s="18" t="inlineStr">
        <is>
          <t>鈴木太郎</t>
        </is>
      </c>
      <c r="D6" s="18" t="inlineStr">
        <is>
          <t>A</t>
        </is>
      </c>
      <c r="E6" s="18" t="n">
        <v>2</v>
      </c>
      <c r="F6" s="18" t="n">
        <v>29000</v>
      </c>
    </row>
    <row r="7">
      <c r="A7" s="18" t="n">
        <v>2</v>
      </c>
      <c r="B7" s="19" t="inlineStr">
        <is>
          <t>2024/02/17</t>
        </is>
      </c>
      <c r="C7" s="18" t="inlineStr">
        <is>
          <t>田中花子</t>
        </is>
      </c>
      <c r="D7" s="18" t="inlineStr">
        <is>
          <t>A</t>
        </is>
      </c>
      <c r="E7" s="18" t="n">
        <v>1</v>
      </c>
      <c r="F7" s="18" t="n">
        <v>38000</v>
      </c>
    </row>
    <row r="8">
      <c r="A8" s="18" t="n">
        <v>2</v>
      </c>
      <c r="B8" s="19" t="inlineStr">
        <is>
          <t>2024/02/17</t>
        </is>
      </c>
      <c r="C8" s="18" t="inlineStr">
        <is>
          <t>佐藤一郎</t>
        </is>
      </c>
      <c r="D8" s="18" t="inlineStr">
        <is>
          <t>A</t>
        </is>
      </c>
      <c r="E8" s="18" t="n">
        <v>4</v>
      </c>
      <c r="F8" s="18" t="n">
        <v>8000</v>
      </c>
    </row>
    <row r="9">
      <c r="A9" s="18" t="n">
        <v>2</v>
      </c>
      <c r="B9" s="19" t="inlineStr">
        <is>
          <t>2024/02/17</t>
        </is>
      </c>
      <c r="C9" s="18" t="inlineStr">
        <is>
          <t>山田次郎</t>
        </is>
      </c>
      <c r="D9" s="18" t="inlineStr">
        <is>
          <t>A</t>
        </is>
      </c>
      <c r="E9" s="18" t="n">
        <v>3</v>
      </c>
      <c r="F9" s="18" t="n">
        <v>21000</v>
      </c>
    </row>
    <row r="10">
      <c r="A10" s="18" t="n">
        <v>2</v>
      </c>
      <c r="B10" s="19" t="inlineStr">
        <is>
          <t>2024/02/17</t>
        </is>
      </c>
      <c r="C10" s="18" t="inlineStr">
        <is>
          <t>伊藤三郎</t>
        </is>
      </c>
      <c r="D10" s="18" t="inlineStr">
        <is>
          <t>B</t>
        </is>
      </c>
      <c r="E10" s="18" t="n">
        <v>1</v>
      </c>
      <c r="F10" s="18" t="n">
        <v>44000</v>
      </c>
    </row>
    <row r="11">
      <c r="A11" s="18" t="n">
        <v>2</v>
      </c>
      <c r="B11" s="19" t="inlineStr">
        <is>
          <t>2024/02/17</t>
        </is>
      </c>
      <c r="C11" s="18" t="inlineStr">
        <is>
          <t>渡辺四郎</t>
        </is>
      </c>
      <c r="D11" s="18" t="inlineStr">
        <is>
          <t>B</t>
        </is>
      </c>
      <c r="E11" s="18" t="n">
        <v>3</v>
      </c>
      <c r="F11" s="18" t="n">
        <v>20000</v>
      </c>
    </row>
    <row r="12">
      <c r="A12" s="18" t="n">
        <v>2</v>
      </c>
      <c r="B12" s="19" t="inlineStr">
        <is>
          <t>2024/02/17</t>
        </is>
      </c>
      <c r="C12" s="18" t="inlineStr">
        <is>
          <t>中村五郎</t>
        </is>
      </c>
      <c r="D12" s="18" t="inlineStr">
        <is>
          <t>B</t>
        </is>
      </c>
      <c r="E12" s="18" t="n">
        <v>2</v>
      </c>
      <c r="F12" s="18" t="n">
        <v>32000</v>
      </c>
    </row>
    <row r="13">
      <c r="A13" s="18" t="n">
        <v>2</v>
      </c>
      <c r="B13" s="19" t="inlineStr">
        <is>
          <t>2024/02/17</t>
        </is>
      </c>
      <c r="C13" s="18" t="inlineStr">
        <is>
          <t>小林六郎</t>
        </is>
      </c>
      <c r="D13" s="18" t="inlineStr">
        <is>
          <t>B</t>
        </is>
      </c>
      <c r="E13" s="18" t="n">
        <v>4</v>
      </c>
      <c r="F13" s="18" t="n">
        <v>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565C0"/>
    <outlinePr summaryBelow="1" summaryRight="1"/>
    <pageSetUpPr/>
  </sheetPr>
  <dimension ref="A1:F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13" customWidth="1" min="3" max="3"/>
    <col width="8" customWidth="1" min="4" max="4"/>
    <col width="10" customWidth="1" min="5" max="5"/>
    <col width="16" customWidth="1" min="6" max="6"/>
  </cols>
  <sheetData>
    <row r="1" ht="40" customHeight="1">
      <c r="A1" s="20" t="inlineStr">
        <is>
          <t>第X回 成績入力（4人）</t>
        </is>
      </c>
    </row>
    <row r="2" ht="22" customHeight="1">
      <c r="A2" s="21" t="inlineStr">
        <is>
          <t>日付</t>
        </is>
      </c>
      <c r="B2" s="22" t="n"/>
      <c r="D2" s="21" t="inlineStr">
        <is>
          <t>回数</t>
        </is>
      </c>
      <c r="E2" s="23" t="n"/>
    </row>
    <row r="3" ht="8" customHeight="1"/>
    <row r="4" ht="28" customHeight="1">
      <c r="A4" s="24" t="inlineStr">
        <is>
          <t>▶ 対局結果</t>
        </is>
      </c>
    </row>
    <row r="5" ht="22" customHeight="1">
      <c r="A5" s="25" t="inlineStr">
        <is>
          <t>参加者</t>
        </is>
      </c>
      <c r="B5" s="25" t="inlineStr">
        <is>
          <t>順位</t>
        </is>
      </c>
      <c r="C5" s="25" t="inlineStr">
        <is>
          <t>点数（素点）</t>
        </is>
      </c>
      <c r="D5" s="25" t="inlineStr">
        <is>
          <t>ウマ</t>
        </is>
      </c>
      <c r="E5" s="25" t="inlineStr">
        <is>
          <t>収支</t>
        </is>
      </c>
      <c r="F5" s="25" t="inlineStr">
        <is>
          <t>メモ</t>
        </is>
      </c>
    </row>
    <row r="6" ht="22" customHeight="1">
      <c r="A6" s="26" t="n"/>
      <c r="B6" s="27" t="n"/>
      <c r="C6" s="27" t="n"/>
      <c r="D6" s="28">
        <f>IF(B6="","",CHOOSE(B6,設定!$D$2,設定!$D$3,設定!$D$4,設定!$D$5))</f>
        <v/>
      </c>
      <c r="E6" s="29">
        <f>IF(C6="","",ROUND((C6-設定!$C$7)/1000+D6,1))</f>
        <v/>
      </c>
      <c r="F6" s="27" t="n"/>
    </row>
    <row r="7" ht="22" customHeight="1">
      <c r="A7" s="30" t="n"/>
      <c r="B7" s="31" t="n"/>
      <c r="C7" s="31" t="n"/>
      <c r="D7" s="32">
        <f>IF(B7="","",CHOOSE(B7,設定!$D$2,設定!$D$3,設定!$D$4,設定!$D$5))</f>
        <v/>
      </c>
      <c r="E7" s="33">
        <f>IF(C7="","",ROUND((C7-設定!$C$7)/1000+D7,1))</f>
        <v/>
      </c>
      <c r="F7" s="31" t="n"/>
    </row>
    <row r="8" ht="22" customHeight="1">
      <c r="A8" s="26" t="n"/>
      <c r="B8" s="27" t="n"/>
      <c r="C8" s="27" t="n"/>
      <c r="D8" s="28">
        <f>IF(B8="","",CHOOSE(B8,設定!$D$2,設定!$D$3,設定!$D$4,設定!$D$5))</f>
        <v/>
      </c>
      <c r="E8" s="29">
        <f>IF(C8="","",ROUND((C8-設定!$C$7)/1000+D8,1))</f>
        <v/>
      </c>
      <c r="F8" s="27" t="n"/>
    </row>
    <row r="9" ht="22" customHeight="1">
      <c r="A9" s="30" t="n"/>
      <c r="B9" s="31" t="n"/>
      <c r="C9" s="31" t="n"/>
      <c r="D9" s="32">
        <f>IF(B9="","",CHOOSE(B9,設定!$D$2,設定!$D$3,設定!$D$4,設定!$D$5))</f>
        <v/>
      </c>
      <c r="E9" s="33">
        <f>IF(C9="","",ROUND((C9-設定!$C$7)/1000+D9,1))</f>
        <v/>
      </c>
      <c r="F9" s="31" t="n"/>
    </row>
    <row r="10" ht="8" customHeight="1"/>
    <row r="11">
      <c r="A11" s="34" t="inlineStr">
        <is>
          <t>点数合計（確認用）</t>
        </is>
      </c>
      <c r="D11" s="35">
        <f>SUM(C6:C9)</f>
        <v/>
      </c>
    </row>
    <row r="12" ht="20" customHeight="1">
      <c r="A12" s="36" t="inlineStr">
        <is>
          <t>※ 上の合計が 100,000 点になっていれば正確（30,000×4 - チップ精算分を除く）</t>
        </is>
      </c>
    </row>
    <row r="13" ht="8" customHeight="1"/>
    <row r="14" ht="25" customHeight="1">
      <c r="A14" s="37" t="inlineStr">
        <is>
          <t>✅ 入力完了後：「集計に追加」マクロを実行するとマスターに反映されます</t>
        </is>
      </c>
    </row>
  </sheetData>
  <mergeCells count="5">
    <mergeCell ref="A11:C11"/>
    <mergeCell ref="A14:F14"/>
    <mergeCell ref="A1:F1"/>
    <mergeCell ref="A4:F4"/>
    <mergeCell ref="A12:C12"/>
  </mergeCells>
  <dataValidations count="2">
    <dataValidation sqref="A6:A9" showDropDown="0" showInputMessage="0" showErrorMessage="1" allowBlank="0" errorTitle="入力エラー" error="参加者リストから選択してください" type="list">
      <formula1>設定!$A$2:$A$200</formula1>
    </dataValidation>
    <dataValidation sqref="B6:B9" showDropDown="0" showInputMessage="0" showErrorMessage="0" allowBlank="0" type="list">
      <formula1>"1,2,3,4"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360C"/>
    <outlinePr summaryBelow="1" summaryRight="1"/>
    <pageSetUpPr/>
  </sheetPr>
  <dimension ref="A1:F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13" customWidth="1" min="3" max="3"/>
    <col width="8" customWidth="1" min="4" max="4"/>
    <col width="10" customWidth="1" min="5" max="5"/>
    <col width="16" customWidth="1" min="6" max="6"/>
  </cols>
  <sheetData>
    <row r="1" ht="40" customHeight="1">
      <c r="A1" s="20" t="inlineStr">
        <is>
          <t>第X回 成績入力（8人 / A卓・B卓）</t>
        </is>
      </c>
    </row>
    <row r="2" ht="22" customHeight="1">
      <c r="A2" s="21" t="inlineStr">
        <is>
          <t>日付</t>
        </is>
      </c>
      <c r="B2" s="22" t="n"/>
      <c r="D2" s="21" t="inlineStr">
        <is>
          <t>回数</t>
        </is>
      </c>
      <c r="E2" s="23" t="n"/>
    </row>
    <row r="3" ht="8" customHeight="1"/>
    <row r="4" ht="28" customHeight="1">
      <c r="A4" s="38" t="inlineStr">
        <is>
          <t>🀇  A 卓</t>
        </is>
      </c>
    </row>
    <row r="5" ht="22" customHeight="1">
      <c r="A5" s="39" t="inlineStr">
        <is>
          <t>参加者</t>
        </is>
      </c>
      <c r="B5" s="39" t="inlineStr">
        <is>
          <t>順位</t>
        </is>
      </c>
      <c r="C5" s="39" t="inlineStr">
        <is>
          <t>点数（素点）</t>
        </is>
      </c>
      <c r="D5" s="39" t="inlineStr">
        <is>
          <t>ウマ</t>
        </is>
      </c>
      <c r="E5" s="39" t="inlineStr">
        <is>
          <t>収支</t>
        </is>
      </c>
      <c r="F5" s="39" t="inlineStr">
        <is>
          <t>メモ</t>
        </is>
      </c>
    </row>
    <row r="6" ht="22" customHeight="1">
      <c r="A6" s="40" t="n"/>
      <c r="B6" s="41" t="n"/>
      <c r="C6" s="41" t="n"/>
      <c r="D6" s="42">
        <f>IF(B6="","",CHOOSE(B6,設定!$D$2,設定!$D$3,設定!$D$4,設定!$D$5))</f>
        <v/>
      </c>
      <c r="E6" s="43">
        <f>IF(C6="","",ROUND((C6-設定!$C$7)/1000+D6,1))</f>
        <v/>
      </c>
      <c r="F6" s="41" t="n"/>
    </row>
    <row r="7" ht="22" customHeight="1">
      <c r="A7" s="30" t="n"/>
      <c r="B7" s="31" t="n"/>
      <c r="C7" s="31" t="n"/>
      <c r="D7" s="32">
        <f>IF(B7="","",CHOOSE(B7,設定!$D$2,設定!$D$3,設定!$D$4,設定!$D$5))</f>
        <v/>
      </c>
      <c r="E7" s="33">
        <f>IF(C7="","",ROUND((C7-設定!$C$7)/1000+D7,1))</f>
        <v/>
      </c>
      <c r="F7" s="31" t="n"/>
    </row>
    <row r="8" ht="22" customHeight="1">
      <c r="A8" s="40" t="n"/>
      <c r="B8" s="41" t="n"/>
      <c r="C8" s="41" t="n"/>
      <c r="D8" s="42">
        <f>IF(B8="","",CHOOSE(B8,設定!$D$2,設定!$D$3,設定!$D$4,設定!$D$5))</f>
        <v/>
      </c>
      <c r="E8" s="43">
        <f>IF(C8="","",ROUND((C8-設定!$C$7)/1000+D8,1))</f>
        <v/>
      </c>
      <c r="F8" s="41" t="n"/>
    </row>
    <row r="9" ht="22" customHeight="1">
      <c r="A9" s="30" t="n"/>
      <c r="B9" s="31" t="n"/>
      <c r="C9" s="31" t="n"/>
      <c r="D9" s="32">
        <f>IF(B9="","",CHOOSE(B9,設定!$D$2,設定!$D$3,設定!$D$4,設定!$D$5))</f>
        <v/>
      </c>
      <c r="E9" s="33">
        <f>IF(C9="","",ROUND((C9-設定!$C$7)/1000+D9,1))</f>
        <v/>
      </c>
      <c r="F9" s="31" t="n"/>
    </row>
    <row r="10" ht="8" customHeight="1"/>
    <row r="11">
      <c r="A11" s="44" t="inlineStr">
        <is>
          <t>A卓 点数合計</t>
        </is>
      </c>
      <c r="D11" s="35">
        <f>SUM(C6:C9)</f>
        <v/>
      </c>
    </row>
    <row r="12" ht="10" customHeight="1"/>
    <row r="13" ht="28" customHeight="1">
      <c r="A13" s="45" t="inlineStr">
        <is>
          <t>🀗  B 卓</t>
        </is>
      </c>
    </row>
    <row r="14" ht="22" customHeight="1">
      <c r="A14" s="46" t="inlineStr">
        <is>
          <t>参加者</t>
        </is>
      </c>
      <c r="B14" s="46" t="inlineStr">
        <is>
          <t>順位</t>
        </is>
      </c>
      <c r="C14" s="46" t="inlineStr">
        <is>
          <t>点数（素点）</t>
        </is>
      </c>
      <c r="D14" s="46" t="inlineStr">
        <is>
          <t>ウマ</t>
        </is>
      </c>
      <c r="E14" s="46" t="inlineStr">
        <is>
          <t>収支</t>
        </is>
      </c>
      <c r="F14" s="46" t="inlineStr">
        <is>
          <t>メモ</t>
        </is>
      </c>
    </row>
    <row r="15" ht="22" customHeight="1">
      <c r="A15" s="47" t="n"/>
      <c r="B15" s="48" t="n"/>
      <c r="C15" s="48" t="n"/>
      <c r="D15" s="49">
        <f>IF(B15="","",CHOOSE(B15,設定!$D$2,設定!$D$3,設定!$D$4,設定!$D$5))</f>
        <v/>
      </c>
      <c r="E15" s="50">
        <f>IF(C15="","",ROUND((C15-設定!$C$7)/1000+D15,1))</f>
        <v/>
      </c>
      <c r="F15" s="48" t="n"/>
    </row>
    <row r="16" ht="22" customHeight="1">
      <c r="A16" s="30" t="n"/>
      <c r="B16" s="31" t="n"/>
      <c r="C16" s="31" t="n"/>
      <c r="D16" s="32">
        <f>IF(B16="","",CHOOSE(B16,設定!$D$2,設定!$D$3,設定!$D$4,設定!$D$5))</f>
        <v/>
      </c>
      <c r="E16" s="33">
        <f>IF(C16="","",ROUND((C16-設定!$C$7)/1000+D16,1))</f>
        <v/>
      </c>
      <c r="F16" s="31" t="n"/>
    </row>
    <row r="17" ht="22" customHeight="1">
      <c r="A17" s="47" t="n"/>
      <c r="B17" s="48" t="n"/>
      <c r="C17" s="48" t="n"/>
      <c r="D17" s="49">
        <f>IF(B17="","",CHOOSE(B17,設定!$D$2,設定!$D$3,設定!$D$4,設定!$D$5))</f>
        <v/>
      </c>
      <c r="E17" s="50">
        <f>IF(C17="","",ROUND((C17-設定!$C$7)/1000+D17,1))</f>
        <v/>
      </c>
      <c r="F17" s="48" t="n"/>
    </row>
    <row r="18" ht="22" customHeight="1">
      <c r="A18" s="30" t="n"/>
      <c r="B18" s="31" t="n"/>
      <c r="C18" s="31" t="n"/>
      <c r="D18" s="32">
        <f>IF(B18="","",CHOOSE(B18,設定!$D$2,設定!$D$3,設定!$D$4,設定!$D$5))</f>
        <v/>
      </c>
      <c r="E18" s="33">
        <f>IF(C18="","",ROUND((C18-設定!$C$7)/1000+D18,1))</f>
        <v/>
      </c>
      <c r="F18" s="31" t="n"/>
    </row>
    <row r="19" ht="8" customHeight="1"/>
    <row r="20">
      <c r="A20" s="44" t="inlineStr">
        <is>
          <t>B卓 点数合計</t>
        </is>
      </c>
      <c r="D20" s="35">
        <f>SUM(C15:C18)</f>
        <v/>
      </c>
    </row>
    <row r="21" ht="10" customHeight="1"/>
    <row r="22" ht="25" customHeight="1">
      <c r="A22" s="37" t="inlineStr">
        <is>
          <t>✅ 入力完了後：「集計に追加」マクロを実行するとマスターに反映されます</t>
        </is>
      </c>
    </row>
  </sheetData>
  <mergeCells count="6">
    <mergeCell ref="A11:C11"/>
    <mergeCell ref="A13:F13"/>
    <mergeCell ref="A1:F1"/>
    <mergeCell ref="A22:F22"/>
    <mergeCell ref="A4:F4"/>
    <mergeCell ref="A20:C20"/>
  </mergeCells>
  <dataValidations count="4">
    <dataValidation sqref="A6:A9" showDropDown="0" showInputMessage="0" showErrorMessage="1" allowBlank="0" errorTitle="入力エラー" error="参加者リストから選択してください" type="list">
      <formula1>設定!$A$2:$A$200</formula1>
    </dataValidation>
    <dataValidation sqref="B6:B9" showDropDown="0" showInputMessage="0" showErrorMessage="0" allowBlank="0" type="list">
      <formula1>"1,2,3,4"</formula1>
    </dataValidation>
    <dataValidation sqref="A15:A18" showDropDown="0" showInputMessage="0" showErrorMessage="1" allowBlank="0" errorTitle="入力エラー" error="参加者リストから選択してください" type="list">
      <formula1>設定!$A$2:$A$200</formula1>
    </dataValidation>
    <dataValidation sqref="B15:B18" showDropDown="0" showInputMessage="0" showErrorMessage="0" allowBlank="0" type="list">
      <formula1>"1,2,3,4"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D32"/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40" customWidth="1" min="3" max="3"/>
  </cols>
  <sheetData>
    <row r="1" ht="40" customHeight="1">
      <c r="A1" s="51" t="inlineStr">
        <is>
          <t>使い方ガイド</t>
        </is>
      </c>
    </row>
    <row r="2" ht="18" customHeight="1"/>
    <row r="3" ht="18" customHeight="1">
      <c r="B3" s="52" t="inlineStr">
        <is>
          <t>【STEP 1】参加者を登録する</t>
        </is>
      </c>
    </row>
    <row r="4" ht="18" customHeight="1">
      <c r="B4" s="53" t="inlineStr">
        <is>
          <t>「設定」シート（非表示）の A列に部員名を追加してください。</t>
        </is>
      </c>
    </row>
    <row r="5" ht="18" customHeight="1">
      <c r="B5" s="53" t="inlineStr">
        <is>
          <t>→ シートタブを右クリック ▶ [再表示] ▶ 設定 を選択</t>
        </is>
      </c>
    </row>
    <row r="6" ht="18" customHeight="1"/>
    <row r="7" ht="18" customHeight="1">
      <c r="B7" s="52" t="inlineStr">
        <is>
          <t>【STEP 2】各回のシートを作成する</t>
        </is>
      </c>
    </row>
    <row r="8" ht="18" customHeight="1">
      <c r="B8" s="53" t="inlineStr">
        <is>
          <t>・4人の場合：「新規シート_4人」マクロを実行</t>
        </is>
      </c>
    </row>
    <row r="9" ht="18" customHeight="1">
      <c r="B9" s="53" t="inlineStr">
        <is>
          <t>・8人の場合：「新規シート_8人」マクロを実行</t>
        </is>
      </c>
    </row>
    <row r="10" ht="18" customHeight="1">
      <c r="B10" s="53" t="inlineStr">
        <is>
          <t>→ [開発] タブ ▶ [マクロ] ▶ 実行  (または割り当てたボタンを押す)</t>
        </is>
      </c>
    </row>
    <row r="11" ht="18" customHeight="1"/>
    <row r="12" ht="18" customHeight="1">
      <c r="B12" s="52" t="inlineStr">
        <is>
          <t>【STEP 3】結果を入力する</t>
        </is>
      </c>
    </row>
    <row r="13" ht="18" customHeight="1">
      <c r="B13" s="53" t="inlineStr">
        <is>
          <t>・参加者：プルダウンから選択</t>
        </is>
      </c>
    </row>
    <row r="14" ht="18" customHeight="1">
      <c r="B14" s="53" t="inlineStr">
        <is>
          <t>・順位：1〜4 をプルダウンから選択</t>
        </is>
      </c>
    </row>
    <row r="15" ht="18" customHeight="1">
      <c r="B15" s="53" t="inlineStr">
        <is>
          <t>・点数：素点を入力（例: 42000）</t>
        </is>
      </c>
    </row>
    <row r="16" ht="18" customHeight="1">
      <c r="B16" s="53" t="inlineStr">
        <is>
          <t>・ウマ・収支 は自動計算されます</t>
        </is>
      </c>
    </row>
    <row r="17" ht="18" customHeight="1">
      <c r="B17" s="53" t="inlineStr">
        <is>
          <t>・8人の場合、A卓とB卓 に分けて入力 → 同卓が一目でわかります</t>
        </is>
      </c>
    </row>
    <row r="18" ht="18" customHeight="1"/>
    <row r="19" ht="18" customHeight="1">
      <c r="B19" s="52" t="inlineStr">
        <is>
          <t>【STEP 4】集計に追加する</t>
        </is>
      </c>
    </row>
    <row r="20" ht="18" customHeight="1">
      <c r="B20" s="53" t="inlineStr">
        <is>
          <t>「集計に追加」マクロを実行 → 「マスター」シートに自動反映</t>
        </is>
      </c>
    </row>
    <row r="21" ht="18" customHeight="1"/>
    <row r="22" ht="18" customHeight="1">
      <c r="B22" s="52" t="inlineStr">
        <is>
          <t>【セッションのアーカイブと復元】</t>
        </is>
      </c>
    </row>
    <row r="23" ht="18" customHeight="1">
      <c r="B23" s="53" t="inlineStr">
        <is>
          <t>・古いセッションを非表示にしたい場合：対象シートをアクティブにして「セッションをアーカイブ」マクロを実行</t>
        </is>
      </c>
    </row>
    <row r="24" ht="18" customHeight="1">
      <c r="B24" s="53" t="inlineStr">
        <is>
          <t>・アーカイブしたセッションを再表示したい場合：「アーカイブを復元」マクロを実行 → 一覧から番号を選択</t>
        </is>
      </c>
    </row>
    <row r="25" ht="18" customHeight="1">
      <c r="B25" s="53" t="inlineStr">
        <is>
          <t>※ マスター・設定・データ・使い方・サンプルシートはアーカイブ不可です</t>
        </is>
      </c>
    </row>
    <row r="26" ht="18" customHeight="1"/>
    <row r="27" ht="18" customHeight="1">
      <c r="B27" s="52" t="inlineStr">
        <is>
          <t>【ウマ設定の変更】</t>
        </is>
      </c>
    </row>
    <row r="28" ht="18" customHeight="1">
      <c r="B28" s="53" t="inlineStr">
        <is>
          <t>「設定」シート D2〜D5 の数値を変更してください（デフォルト: 20/10/-10/-20）</t>
        </is>
      </c>
    </row>
    <row r="29" ht="18" customHeight="1">
      <c r="B29" s="53" t="inlineStr">
        <is>
          <t>返し点は 設定!C7（デフォルト: 30000）</t>
        </is>
      </c>
    </row>
    <row r="30" ht="18" customHeight="1"/>
    <row r="31" ht="18" customHeight="1">
      <c r="B31" s="52" t="inlineStr">
        <is>
          <t>【VBAの追加方法】</t>
        </is>
      </c>
    </row>
    <row r="32" ht="18" customHeight="1">
      <c r="B32" s="53" t="inlineStr">
        <is>
          <t>① Excel で Alt+F11 を押す</t>
        </is>
      </c>
    </row>
    <row r="33" ht="18" customHeight="1">
      <c r="B33" s="53" t="inlineStr">
        <is>
          <t>② 左ペインでブック名を右クリック ▶ 挿入 ▶ 標準モジュール</t>
        </is>
      </c>
    </row>
    <row r="34" ht="18" customHeight="1">
      <c r="B34" s="53" t="inlineStr">
        <is>
          <t>③ 下のコードボックス内のコードを貼り付ける</t>
        </is>
      </c>
    </row>
    <row r="35" ht="18" customHeight="1">
      <c r="B35" s="53" t="inlineStr">
        <is>
          <t>④ Alt+F11 で戻る → [開発] タブ ▶ [マクロ] で実行できます</t>
        </is>
      </c>
    </row>
    <row r="36" ht="18" customHeight="1"/>
    <row r="38" ht="28" customHeight="1">
      <c r="A38" s="54" t="inlineStr">
        <is>
          <t>▼ VBAコード（以下をコピーして標準モジュールに貼り付け）</t>
        </is>
      </c>
    </row>
    <row r="39" ht="15" customHeight="1">
      <c r="A39" s="55" t="inlineStr">
        <is>
          <t>' ============================================================
' 麻雀部成績管理 - VBAコード（Alt+F11 で貼り付け）
' ============================================================
' 標準モジュールに貼り付けて使ってください。
' その後 [開発タブ] &gt; [マクロ] から実行できます。
' ボタンにマクロを割り当てると便利です。
' ============================================================
' ----------------------------------------------------------
' セッションシートをアーカイブ（非表示）にする
' ----------------------------------------------------------
Sub セッションをアーカイブ()
    Dim ws As Worksheet: Set ws = ActiveSheet
    Dim nm As String: nm = ws.Name
    ' 保護シートはアーカイブ不可
    Dim forbidden As Variant
    forbidden = Array("マスター", "データ", "設定", "使い方", _
                      "第1回(4人用サンプル)", "第1回(8人用サンプル)")
    Dim f As Variant
    For Each f In forbidden
        If nm = f Then
            MsgBox "「" &amp; nm &amp; "」はアーカイブできません。", vbExclamation
            Exit Sub
        End If
    Next f
    If MsgBox("「" &amp; nm &amp; "」をアーカイブ（非表示）にしますか？" &amp; Chr(13) &amp; _
              "「アーカイブを復元」マクロでいつでも再表示できます。", _
              vbYesNo + vbQuestion, "アーカイブ確認") = vbNo Then Exit Sub
    ws.Visible = xlSheetHidden
    MsgBox "「" &amp; nm &amp; "」をアーカイブしました。", vbInformation
End Sub
' ----------------------------------------------------------
' アーカイブされたセッションシートを復元（再表示）する
' ----------------------------------------------------------
Sub アーカイブを復元()
    Dim excluded As Variant
    excluded = Array("データ", "設定")
    ' 非表示のセッションシートを収集
    Dim sheetNames() As String
    Dim count As Integer: count = 0
    Dim ws As Worksheet
    For Each ws In ThisWorkbook.Sheets
        If ws.Visible = xlSheetHidden Then
            Dim isExcluded As Boolean: isExcluded = False
            Dim ex As Variant
            For Each ex In excluded
                If ws.Name = ex Then isExcluded = True: Exit For
            Next ex
            If Not isExcluded Then
                count = count + 1
                ReDim Preserve sheetNames(count - 1)
                sheetNames(count - 1) = ws.Name
            End If
        End If
    Next ws
    If count = 0 Then
        MsgBox "アーカイブされたセッションはありません。", vbInformation
        Exit Sub
    End If
    ' 一覧を表示して番号入力を受け付ける
    Dim listStr As String: listStr = ""
    Dim i As Integer
    For i = 0 To count - 1
        listStr = listStr &amp; (i + 1) &amp; ". " &amp; sheetNames(i) &amp; Chr(13)
    Next i
    Dim input As String
    input = InputBox("復元するセッションの番号を入力してください:" &amp; Chr(13) &amp; Chr(13) &amp; _
                     listStr, "アーカイブを復元")
    If input = "" Then Exit Sub
    If Not IsNumeric(input) Then
        MsgBox "番号を入力してください。", vbExclamation: Exit Sub
    End If
    Dim idx As Integer: idx = CInt(input)
    If idx &lt; 1 Or idx &gt; count Then
        MsgBox "1〜" &amp; count &amp; " の番号を入力してください。", vbExclamation: Exit Sub
    End If
    Dim targetName As String: targetName = sheetNames(idx - 1)
    ThisWorkbook.Sheets(targetName).Visible = xlSheetVisible
    ThisWorkbook.Sheets(targetName).Activate
    MsgBox "「" &amp; targetName &amp; "」を復元しました！", vbInformation
End Sub
' ----------------------------------------------------------
' 4人用シートを新規作成（テンプレートをコピー）
' ----------------------------------------------------------
Sub 新規シート_4人()
    Dim num As String
    Dim dt  As String
    num = InputBox("回数を入力してください（例: 3）", "新規セッション作成")
    If num = "" Then Exit Sub
    dt = InputBox("日付を入力してください（例: 2024/03/15）", "日付入力", Format(Date, "yyyy/mm/dd"))
    If dt = "" Then Exit Sub
    Dim srcName As String: srcName = "第1回(4人用サンプル)"
    Dim newName As String: newName = "第" &amp; num &amp; "回(4人)"
    If SheetExists(newName) Then
        MsgBox "「" &amp; newName &amp; "」は既に存在します。", vbExclamation: Exit Sub
    End If
    Sheets(srcName).Copy After:=Sheets(Sheets.Count)
    With ActiveSheet
        .Name = newName
        .Range("B2").Value = CDate(dt)
        .Range("E2").Value = CLng(num)
        .Range("A6:F9").ClearContents
    End With
    MsgBox "「" &amp; newName &amp; "」を作成しました！", vbInformation
End Sub
' ----------------------------------------------------------
' 8人用シートを新規作成
' ----------------------------------------------------------
Sub 新規シート_8人()
    Dim num As String
    Dim dt  As String
    num = InputBox("回数を入力してください（例: 3）", "新規セッション作成")
    If num = "" Then Exit Sub
    dt = InputBox("日付を入力してください（例: 2024/03/15）", "日付入力", Format(Date, "yyyy/mm/dd"))
    If dt = "" Then Exit Sub
    Dim srcName As String: srcName = "第1回(8人用サンプル)"
    Dim newName As String: newName = "第" &amp; num &amp; "回(8人)"
    If SheetExists(newName) Then
        MsgBox "「" &amp; newName &amp; "」は既に存在します。", vbExclamation: Exit Sub
    End If
    Sheets(srcName).Copy After:=Sheets(Sheets.Count)
    With ActiveSheet
        .Name = newName
        .Range("B2").Value = CDate(dt)
        .Range("E2").Value = CLng(num)
        .Range("A6:F9").ClearContents
        .Range("A15:F18").ClearContents
    End With
    MsgBox "「" &amp; newName &amp; "」を作成しました！", vbInformation
End Sub
' ----------------------------------------------------------
' アクティブシートのデータをデータシートに集計
' ----------------------------------------------------------
Sub 集計に追加()
    Dim ws     As Worksheet: Set ws = ActiveSheet
    Dim wsData As Worksheet: Set wsData = Sheets("データ")
    Dim num  As Variant: num  = ws.Range("E2").Value
    Dim dt   As Variant: dt   = ws.Range("B2").Value
    If num = "" Or num = 0 Then
        MsgBox "回数（E2セル）を入力してください。", vbExclamation: Exit Sub
    End If
    If dt = "" Then
        MsgBox "日付（B2セル）を入力してください。", vbExclamation: Exit Sub
    End If
    ' 既存データを確認
    If Application.CountIf(wsData.Columns("A"), num) &gt; 0 Then
        If MsgBox("第" &amp; num &amp; "回のデータは既に登録されています。上書きしますか？", _
                  vbYesNo + vbQuestion, "上書き確認") = vbNo Then Exit Sub
        ' 削除
        Dim i As Long
        For i = wsData.Cells(wsData.Rows.Count, "A").End(xlUp).Row To 2 Step -1
            If wsData.Cells(i, "A").Value = num Then wsData.Rows(i).Delete
        Next i
    End If
    Dim lastRow As Long
    Dim r As Integer
    ' ── 4人シート判定（B2行から下に4行 or 8行）
    Dim is8player As Boolean
    is8player = (InStr(ws.Name, "8人") &gt; 0 Or ws.Range("A13").Value &lt;&gt; "")
    If is8player Then
        ' A卓 (行6-9)
        For r = 6 To 9
            Call WriteRow(wsData, num, dt, ws, r, "A")
        Next r
        ' B卓 (行15-18)
        For r = 15 To 18
            Call WriteRow(wsData, num, dt, ws, r, "B")
        Next r
    Else
        ' 4人 (行6-9)
        For r = 6 To 9
            Call WriteRow(wsData, num, dt, ws, r, "-")
        Next r
    End If
    MsgBox "集計に追加しました！  マスターシートを確認してください。", vbInformation
End Sub
' ----------------------------------------------------------
' 1行書き込みサブルーチン
' ----------------------------------------------------------
Private Sub WriteRow(wsData As Worksheet, num As Variant, dt As Variant, _
                     ws As Worksheet, r As Integer, taku As String)
    Dim nm As String: nm = ws.Cells(r, 1).Value
    If nm = "" Then Exit Sub
    Dim lastRow As Long
    lastRow = wsData.Cells(wsData.Rows.Count, "A").End(xlUp).Row + 1
    wsData.Cells(lastRow, 1).Value = num
    wsData.Cells(lastRow, 2).Value = dt
    wsData.Cells(lastRow, 2).NumberFormat = "yyyy/mm/dd"
    wsData.Cells(lastRow, 3).Value = nm
    wsData.Cells(lastRow, 4).Value = taku
    wsData.Cells(lastRow, 5).Value = ws.Cells(r, 2).Value  ' 順位
    wsData.Cells(lastRow, 6).Value = ws.Cells(r, 3).Value  ' 点数
End Sub
' ----------------------------------------------------------
' シート存在確認
' ----------------------------------------------------------
Private Function SheetExists(nm As String) As Boolean
    Dim s As Worksheet
    On Error Resume Next
    Set s = Sheets(nm)
    SheetExists = Not s Is Nothing
    On Error GoTo 0
End Function</t>
        </is>
      </c>
    </row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</sheetData>
  <mergeCells count="3">
    <mergeCell ref="A1:C1"/>
    <mergeCell ref="A39:C119"/>
    <mergeCell ref="A38:C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2026-03-19T07:11:15Z</dcterms:created>
  <dcterms:modified xsi:type="dcterms:W3CDTF">2026-03-19T07:11:15Z</dcterms:modified>
</cp:coreProperties>
</file>