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マスター" sheetId="1" state="visible" r:id="rId1"/>
    <sheet name="設定" sheetId="2" state="hidden" r:id="rId2"/>
    <sheet name="データ" sheetId="3" state="hidden" r:id="rId3"/>
    <sheet name="第1回(4人用サンプル)" sheetId="4" state="visible" r:id="rId4"/>
    <sheet name="第1回(8人用サンプル)" sheetId="5" state="visible" r:id="rId5"/>
    <sheet name="使い方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m/dd"/>
    <numFmt numFmtId="165" formatCode="0.0%"/>
    <numFmt numFmtId="166" formatCode="+0.0;-0.0;0.0"/>
    <numFmt numFmtId="167" formatCode="+0;-0;0"/>
  </numFmts>
  <fonts count="19">
    <font>
      <name val="Calibri"/>
      <family val="2"/>
      <color theme="1"/>
      <sz val="11"/>
      <scheme val="minor"/>
    </font>
    <font>
      <name val="游ゴシック"/>
      <b val="1"/>
      <sz val="11"/>
    </font>
    <font>
      <name val="游ゴシック"/>
      <b val="1"/>
      <color rgb="00FFFFFF"/>
      <sz val="11"/>
    </font>
    <font>
      <name val="游ゴシック"/>
      <b val="1"/>
      <color rgb="00FFFFFF"/>
    </font>
    <font>
      <name val="游ゴシック"/>
      <b val="1"/>
      <color rgb="00FFFFFF"/>
      <sz val="18"/>
    </font>
    <font>
      <name val="游ゴシック"/>
      <i val="1"/>
      <color rgb="00555555"/>
      <sz val="9"/>
    </font>
    <font>
      <name val="游ゴシック"/>
      <b val="1"/>
      <color rgb="00FFFFFF"/>
      <sz val="10"/>
    </font>
    <font>
      <name val="游ゴシック"/>
      <b val="1"/>
      <color rgb="00FFFFFF"/>
      <sz val="16"/>
    </font>
    <font>
      <name val="游ゴシック"/>
      <b val="1"/>
      <color rgb="00000000"/>
      <sz val="11"/>
    </font>
    <font>
      <name val="游ゴシック"/>
      <b val="1"/>
      <color rgb="00FFFFFF"/>
      <sz val="12"/>
    </font>
    <font>
      <name val="游ゴシック"/>
      <b val="1"/>
      <color rgb="00000000"/>
      <sz val="10"/>
    </font>
    <font>
      <name val="游ゴシック"/>
      <i val="1"/>
      <color rgb="00666666"/>
      <sz val="9"/>
    </font>
    <font>
      <name val="游ゴシック"/>
      <b val="1"/>
      <color rgb="00555555"/>
      <sz val="9"/>
    </font>
    <font>
      <name val="游ゴシック"/>
      <b val="1"/>
      <color rgb="007B3F00"/>
      <sz val="10"/>
    </font>
    <font>
      <name val="游ゴシック"/>
      <b val="1"/>
      <color rgb="00FFFFFF"/>
      <sz val="13"/>
    </font>
    <font>
      <name val="游ゴシック"/>
      <b val="1"/>
      <color rgb="001B3A6B"/>
      <sz val="11"/>
    </font>
    <font>
      <name val="游ゴシック"/>
      <color rgb="00222222"/>
      <sz val="10"/>
    </font>
    <font>
      <name val="游ゴシック"/>
      <color rgb="00B71C1C"/>
      <sz val="10"/>
    </font>
    <font>
      <name val="Courier New"/>
      <color rgb="001A1A2E"/>
      <sz val="9"/>
    </font>
  </fonts>
  <fills count="20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F6B"/>
      </patternFill>
    </fill>
    <fill>
      <patternFill patternType="solid">
        <fgColor rgb="00F0F4F8"/>
      </patternFill>
    </fill>
    <fill>
      <patternFill patternType="solid">
        <fgColor rgb="00F5F8FF"/>
      </patternFill>
    </fill>
    <fill>
      <patternFill patternType="solid">
        <fgColor rgb="00FFFFFF"/>
      </patternFill>
    </fill>
    <fill>
      <patternFill patternType="solid">
        <fgColor rgb="00ECEFF1"/>
      </patternFill>
    </fill>
    <fill>
      <patternFill patternType="solid">
        <fgColor rgb="00FFFDE7"/>
      </patternFill>
    </fill>
    <fill>
      <patternFill patternType="solid">
        <fgColor rgb="00546E7A"/>
      </patternFill>
    </fill>
    <fill>
      <patternFill patternType="solid">
        <fgColor rgb="00E0F4F7"/>
      </patternFill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E3F2FD"/>
      </patternFill>
    </fill>
    <fill>
      <patternFill patternType="solid">
        <fgColor rgb="00BF360C"/>
      </patternFill>
    </fill>
    <fill>
      <patternFill patternType="solid">
        <fgColor rgb="00FBE9E7"/>
      </patternFill>
    </fill>
    <fill>
      <patternFill patternType="solid">
        <fgColor rgb="00FFF8E1"/>
      </patternFill>
    </fill>
    <fill>
      <patternFill patternType="solid">
        <fgColor rgb="00E8F0FE"/>
      </patternFill>
    </fill>
    <fill>
      <patternFill patternType="solid">
        <fgColor rgb="007B1FA2"/>
      </patternFill>
    </fill>
    <fill>
      <patternFill patternType="solid">
        <fgColor rgb="00F8F8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left" vertical="center" indent="1"/>
    </xf>
    <xf numFmtId="1" fontId="0" fillId="5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 indent="1"/>
    </xf>
    <xf numFmtId="1" fontId="0" fillId="6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0" fontId="2" fillId="2" borderId="0" pivotButton="0" quotePrefix="0" xfId="0"/>
    <xf numFmtId="0" fontId="2" fillId="3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 wrapText="1"/>
    </xf>
    <xf numFmtId="0" fontId="8" fillId="7" borderId="0" pivotButton="0" quotePrefix="0" xfId="0"/>
    <xf numFmtId="164" fontId="0" fillId="8" borderId="1" pivotButton="0" quotePrefix="0" xfId="0"/>
    <xf numFmtId="0" fontId="0" fillId="8" borderId="1" pivotButton="0" quotePrefix="0" xfId="0"/>
    <xf numFmtId="0" fontId="9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 indent="1"/>
    </xf>
    <xf numFmtId="0" fontId="0" fillId="10" borderId="1" applyAlignment="1" pivotButton="0" quotePrefix="0" xfId="0">
      <alignment horizontal="center" vertical="center"/>
    </xf>
    <xf numFmtId="167" fontId="0" fillId="10" borderId="1" applyAlignment="1" pivotButton="0" quotePrefix="0" xfId="0">
      <alignment horizontal="center" vertical="center"/>
    </xf>
    <xf numFmtId="166" fontId="0" fillId="1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indent="1"/>
    </xf>
    <xf numFmtId="0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0" fontId="10" fillId="7" borderId="0" pivotButton="0" quotePrefix="0" xfId="0"/>
    <xf numFmtId="3" fontId="0" fillId="8" borderId="1" pivotButton="0" quotePrefix="0" xfId="0"/>
    <xf numFmtId="0" fontId="11" fillId="0" borderId="0" pivotButton="0" quotePrefix="0" xfId="0"/>
    <xf numFmtId="0" fontId="6" fillId="11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0" fillId="13" borderId="1" applyAlignment="1" pivotButton="0" quotePrefix="0" xfId="0">
      <alignment horizontal="left" vertical="center" indent="1"/>
    </xf>
    <xf numFmtId="0" fontId="0" fillId="13" borderId="1" applyAlignment="1" pivotButton="0" quotePrefix="0" xfId="0">
      <alignment horizontal="center" vertical="center"/>
    </xf>
    <xf numFmtId="167" fontId="0" fillId="13" borderId="1" applyAlignment="1" pivotButton="0" quotePrefix="0" xfId="0">
      <alignment horizontal="center" vertical="center"/>
    </xf>
    <xf numFmtId="166" fontId="0" fillId="13" borderId="1" applyAlignment="1" pivotButton="0" quotePrefix="0" xfId="0">
      <alignment horizontal="center" vertical="center"/>
    </xf>
    <xf numFmtId="0" fontId="12" fillId="7" borderId="0" pivotButton="0" quotePrefix="0" xfId="0"/>
    <xf numFmtId="0" fontId="9" fillId="14" borderId="0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left" vertical="center" indent="1"/>
    </xf>
    <xf numFmtId="0" fontId="0" fillId="15" borderId="1" applyAlignment="1" pivotButton="0" quotePrefix="0" xfId="0">
      <alignment horizontal="center" vertical="center"/>
    </xf>
    <xf numFmtId="167" fontId="0" fillId="15" borderId="1" applyAlignment="1" pivotButton="0" quotePrefix="0" xfId="0">
      <alignment horizontal="center" vertical="center"/>
    </xf>
    <xf numFmtId="166" fontId="0" fillId="15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left" vertical="center" indent="1"/>
    </xf>
    <xf numFmtId="0" fontId="14" fillId="9" borderId="0" applyAlignment="1" pivotButton="0" quotePrefix="0" xfId="0">
      <alignment horizontal="left" vertical="center" indent="1"/>
    </xf>
    <xf numFmtId="0" fontId="15" fillId="17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left" vertical="center" indent="1"/>
    </xf>
    <xf numFmtId="0" fontId="6" fillId="11" borderId="0" applyAlignment="1" pivotButton="0" quotePrefix="0" xfId="0">
      <alignment horizontal="left" vertical="center" indent="2"/>
    </xf>
    <xf numFmtId="0" fontId="14" fillId="18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left" vertical="center" indent="1"/>
    </xf>
    <xf numFmtId="0" fontId="18" fillId="19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A6B"/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8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9" customWidth="1" min="10" max="10"/>
    <col width="12" customWidth="1" min="11" max="11"/>
    <col width="11" customWidth="1" min="12" max="12"/>
  </cols>
  <sheetData>
    <row r="1" ht="48" customHeight="1">
      <c r="A1" s="1" t="inlineStr">
        <is>
          <t>麻雀部 成績マスター</t>
        </is>
      </c>
    </row>
    <row r="2" ht="18" customHeight="1">
      <c r="A2" s="2" t="inlineStr">
        <is>
          <t>※ 各回シートで「集計に追加」マクロを実行すると自動反映されます  |  参加者の追加は「設定」シートの A列へ</t>
        </is>
      </c>
    </row>
    <row r="3" ht="36" customHeight="1">
      <c r="A3" s="3" t="inlineStr">
        <is>
          <t>参加者</t>
        </is>
      </c>
      <c r="B3" s="4" t="inlineStr">
        <is>
          <t>参加
回数</t>
        </is>
      </c>
      <c r="C3" s="4" t="inlineStr">
        <is>
          <t>対局数</t>
        </is>
      </c>
      <c r="D3" s="4" t="inlineStr">
        <is>
          <t>平均
順位</t>
        </is>
      </c>
      <c r="E3" s="4" t="inlineStr">
        <is>
          <t>1位
回数</t>
        </is>
      </c>
      <c r="F3" s="4" t="inlineStr">
        <is>
          <t>2位
回数</t>
        </is>
      </c>
      <c r="G3" s="4" t="inlineStr">
        <is>
          <t>3位
回数</t>
        </is>
      </c>
      <c r="H3" s="4" t="inlineStr">
        <is>
          <t>4位
回数</t>
        </is>
      </c>
      <c r="I3" s="4" t="inlineStr">
        <is>
          <t>トップ率</t>
        </is>
      </c>
      <c r="J3" s="4" t="inlineStr">
        <is>
          <t>連対率</t>
        </is>
      </c>
      <c r="K3" s="4" t="inlineStr">
        <is>
          <t>合計収支</t>
        </is>
      </c>
      <c r="L3" s="4" t="inlineStr">
        <is>
          <t>平均収支</t>
        </is>
      </c>
    </row>
    <row r="4" ht="22" customHeight="1">
      <c r="A4" s="5" t="inlineStr">
        <is>
          <t>鈴木太郎</t>
        </is>
      </c>
      <c r="B4" s="6">
        <f>SUMPRODUCT((データ!$C$2:$C$2000=$A4)*1/COUNTIF(データ!$A$2:$A$2000,データ!$A$2:$A$2000)*(データ!$C$2:$C$2000=$A4))</f>
        <v/>
      </c>
      <c r="C4" s="6">
        <f>COUNTIF(データ!$C:$C,$A4)</f>
        <v/>
      </c>
      <c r="D4" s="7">
        <f>IFERROR(AVERAGEIF(データ!$C:$C,$A4,データ!$E:$E),"-")</f>
        <v/>
      </c>
      <c r="E4" s="6">
        <f>COUNTIFS(データ!$C:$C,$A4,データ!$E:$E,1)</f>
        <v/>
      </c>
      <c r="F4" s="6">
        <f>COUNTIFS(データ!$C:$C,$A4,データ!$E:$E,2)</f>
        <v/>
      </c>
      <c r="G4" s="6">
        <f>COUNTIFS(データ!$C:$C,$A4,データ!$E:$E,3)</f>
        <v/>
      </c>
      <c r="H4" s="6">
        <f>COUNTIFS(データ!$C:$C,$A4,データ!$E:$E,4)</f>
        <v/>
      </c>
      <c r="I4" s="8">
        <f>IFERROR(COUNTIFS(データ!$C:$C,$A4,データ!$E:$E,1)/COUNTIF(データ!$C:$C,$A4),"-")</f>
        <v/>
      </c>
      <c r="J4" s="8">
        <f>IFERROR((COUNTIFS(データ!$C:$C,$A4,データ!$E:$E,1)+COUNTIFS(データ!$C:$C,$A4,データ!$E:$E,2))/COUNTIF(データ!$C:$C,$A4),"-")</f>
        <v/>
      </c>
      <c r="K4" s="9">
        <f>SUMIF(データ!$C:$C,$A4,データ!$F:$F)</f>
        <v/>
      </c>
      <c r="L4" s="9">
        <f>IFERROR(AVERAGEIF(データ!$C:$C,$A4,データ!$F:$F),"-")</f>
        <v/>
      </c>
    </row>
    <row r="5" ht="22" customHeight="1">
      <c r="A5" s="10" t="inlineStr">
        <is>
          <t>田中花子</t>
        </is>
      </c>
      <c r="B5" s="11">
        <f>SUMPRODUCT((データ!$C$2:$C$2000=$A5)*1/COUNTIF(データ!$A$2:$A$2000,データ!$A$2:$A$2000)*(データ!$C$2:$C$2000=$A5))</f>
        <v/>
      </c>
      <c r="C5" s="11">
        <f>COUNTIF(データ!$C:$C,$A5)</f>
        <v/>
      </c>
      <c r="D5" s="12">
        <f>IFERROR(AVERAGEIF(データ!$C:$C,$A5,データ!$E:$E),"-")</f>
        <v/>
      </c>
      <c r="E5" s="11">
        <f>COUNTIFS(データ!$C:$C,$A5,データ!$E:$E,1)</f>
        <v/>
      </c>
      <c r="F5" s="11">
        <f>COUNTIFS(データ!$C:$C,$A5,データ!$E:$E,2)</f>
        <v/>
      </c>
      <c r="G5" s="11">
        <f>COUNTIFS(データ!$C:$C,$A5,データ!$E:$E,3)</f>
        <v/>
      </c>
      <c r="H5" s="11">
        <f>COUNTIFS(データ!$C:$C,$A5,データ!$E:$E,4)</f>
        <v/>
      </c>
      <c r="I5" s="13">
        <f>IFERROR(COUNTIFS(データ!$C:$C,$A5,データ!$E:$E,1)/COUNTIF(データ!$C:$C,$A5),"-")</f>
        <v/>
      </c>
      <c r="J5" s="13">
        <f>IFERROR((COUNTIFS(データ!$C:$C,$A5,データ!$E:$E,1)+COUNTIFS(データ!$C:$C,$A5,データ!$E:$E,2))/COUNTIF(データ!$C:$C,$A5),"-")</f>
        <v/>
      </c>
      <c r="K5" s="14">
        <f>SUMIF(データ!$C:$C,$A5,データ!$F:$F)</f>
        <v/>
      </c>
      <c r="L5" s="14">
        <f>IFERROR(AVERAGEIF(データ!$C:$C,$A5,データ!$F:$F),"-")</f>
        <v/>
      </c>
    </row>
    <row r="6" ht="22" customHeight="1">
      <c r="A6" s="5" t="inlineStr">
        <is>
          <t>佐藤一郎</t>
        </is>
      </c>
      <c r="B6" s="6">
        <f>SUMPRODUCT((データ!$C$2:$C$2000=$A6)*1/COUNTIF(データ!$A$2:$A$2000,データ!$A$2:$A$2000)*(データ!$C$2:$C$2000=$A6))</f>
        <v/>
      </c>
      <c r="C6" s="6">
        <f>COUNTIF(データ!$C:$C,$A6)</f>
        <v/>
      </c>
      <c r="D6" s="7">
        <f>IFERROR(AVERAGEIF(データ!$C:$C,$A6,データ!$E:$E),"-")</f>
        <v/>
      </c>
      <c r="E6" s="6">
        <f>COUNTIFS(データ!$C:$C,$A6,データ!$E:$E,1)</f>
        <v/>
      </c>
      <c r="F6" s="6">
        <f>COUNTIFS(データ!$C:$C,$A6,データ!$E:$E,2)</f>
        <v/>
      </c>
      <c r="G6" s="6">
        <f>COUNTIFS(データ!$C:$C,$A6,データ!$E:$E,3)</f>
        <v/>
      </c>
      <c r="H6" s="6">
        <f>COUNTIFS(データ!$C:$C,$A6,データ!$E:$E,4)</f>
        <v/>
      </c>
      <c r="I6" s="8">
        <f>IFERROR(COUNTIFS(データ!$C:$C,$A6,データ!$E:$E,1)/COUNTIF(データ!$C:$C,$A6),"-")</f>
        <v/>
      </c>
      <c r="J6" s="8">
        <f>IFERROR((COUNTIFS(データ!$C:$C,$A6,データ!$E:$E,1)+COUNTIFS(データ!$C:$C,$A6,データ!$E:$E,2))/COUNTIF(データ!$C:$C,$A6),"-")</f>
        <v/>
      </c>
      <c r="K6" s="9">
        <f>SUMIF(データ!$C:$C,$A6,データ!$F:$F)</f>
        <v/>
      </c>
      <c r="L6" s="9">
        <f>IFERROR(AVERAGEIF(データ!$C:$C,$A6,データ!$F:$F),"-")</f>
        <v/>
      </c>
    </row>
    <row r="7" ht="22" customHeight="1">
      <c r="A7" s="10" t="inlineStr">
        <is>
          <t>山田次郎</t>
        </is>
      </c>
      <c r="B7" s="11">
        <f>SUMPRODUCT((データ!$C$2:$C$2000=$A7)*1/COUNTIF(データ!$A$2:$A$2000,データ!$A$2:$A$2000)*(データ!$C$2:$C$2000=$A7))</f>
        <v/>
      </c>
      <c r="C7" s="11">
        <f>COUNTIF(データ!$C:$C,$A7)</f>
        <v/>
      </c>
      <c r="D7" s="12">
        <f>IFERROR(AVERAGEIF(データ!$C:$C,$A7,データ!$E:$E),"-")</f>
        <v/>
      </c>
      <c r="E7" s="11">
        <f>COUNTIFS(データ!$C:$C,$A7,データ!$E:$E,1)</f>
        <v/>
      </c>
      <c r="F7" s="11">
        <f>COUNTIFS(データ!$C:$C,$A7,データ!$E:$E,2)</f>
        <v/>
      </c>
      <c r="G7" s="11">
        <f>COUNTIFS(データ!$C:$C,$A7,データ!$E:$E,3)</f>
        <v/>
      </c>
      <c r="H7" s="11">
        <f>COUNTIFS(データ!$C:$C,$A7,データ!$E:$E,4)</f>
        <v/>
      </c>
      <c r="I7" s="13">
        <f>IFERROR(COUNTIFS(データ!$C:$C,$A7,データ!$E:$E,1)/COUNTIF(データ!$C:$C,$A7),"-")</f>
        <v/>
      </c>
      <c r="J7" s="13">
        <f>IFERROR((COUNTIFS(データ!$C:$C,$A7,データ!$E:$E,1)+COUNTIFS(データ!$C:$C,$A7,データ!$E:$E,2))/COUNTIF(データ!$C:$C,$A7),"-")</f>
        <v/>
      </c>
      <c r="K7" s="14">
        <f>SUMIF(データ!$C:$C,$A7,データ!$F:$F)</f>
        <v/>
      </c>
      <c r="L7" s="14">
        <f>IFERROR(AVERAGEIF(データ!$C:$C,$A7,データ!$F:$F),"-")</f>
        <v/>
      </c>
    </row>
    <row r="8" ht="22" customHeight="1">
      <c r="A8" s="5" t="inlineStr">
        <is>
          <t>伊藤三郎</t>
        </is>
      </c>
      <c r="B8" s="6">
        <f>SUMPRODUCT((データ!$C$2:$C$2000=$A8)*1/COUNTIF(データ!$A$2:$A$2000,データ!$A$2:$A$2000)*(データ!$C$2:$C$2000=$A8))</f>
        <v/>
      </c>
      <c r="C8" s="6">
        <f>COUNTIF(データ!$C:$C,$A8)</f>
        <v/>
      </c>
      <c r="D8" s="7">
        <f>IFERROR(AVERAGEIF(データ!$C:$C,$A8,データ!$E:$E),"-")</f>
        <v/>
      </c>
      <c r="E8" s="6">
        <f>COUNTIFS(データ!$C:$C,$A8,データ!$E:$E,1)</f>
        <v/>
      </c>
      <c r="F8" s="6">
        <f>COUNTIFS(データ!$C:$C,$A8,データ!$E:$E,2)</f>
        <v/>
      </c>
      <c r="G8" s="6">
        <f>COUNTIFS(データ!$C:$C,$A8,データ!$E:$E,3)</f>
        <v/>
      </c>
      <c r="H8" s="6">
        <f>COUNTIFS(データ!$C:$C,$A8,データ!$E:$E,4)</f>
        <v/>
      </c>
      <c r="I8" s="8">
        <f>IFERROR(COUNTIFS(データ!$C:$C,$A8,データ!$E:$E,1)/COUNTIF(データ!$C:$C,$A8),"-")</f>
        <v/>
      </c>
      <c r="J8" s="8">
        <f>IFERROR((COUNTIFS(データ!$C:$C,$A8,データ!$E:$E,1)+COUNTIFS(データ!$C:$C,$A8,データ!$E:$E,2))/COUNTIF(データ!$C:$C,$A8),"-")</f>
        <v/>
      </c>
      <c r="K8" s="9">
        <f>SUMIF(データ!$C:$C,$A8,データ!$F:$F)</f>
        <v/>
      </c>
      <c r="L8" s="9">
        <f>IFERROR(AVERAGEIF(データ!$C:$C,$A8,データ!$F:$F),"-")</f>
        <v/>
      </c>
    </row>
    <row r="9" ht="22" customHeight="1">
      <c r="A9" s="10" t="inlineStr">
        <is>
          <t>渡辺四郎</t>
        </is>
      </c>
      <c r="B9" s="11">
        <f>SUMPRODUCT((データ!$C$2:$C$2000=$A9)*1/COUNTIF(データ!$A$2:$A$2000,データ!$A$2:$A$2000)*(データ!$C$2:$C$2000=$A9))</f>
        <v/>
      </c>
      <c r="C9" s="11">
        <f>COUNTIF(データ!$C:$C,$A9)</f>
        <v/>
      </c>
      <c r="D9" s="12">
        <f>IFERROR(AVERAGEIF(データ!$C:$C,$A9,データ!$E:$E),"-")</f>
        <v/>
      </c>
      <c r="E9" s="11">
        <f>COUNTIFS(データ!$C:$C,$A9,データ!$E:$E,1)</f>
        <v/>
      </c>
      <c r="F9" s="11">
        <f>COUNTIFS(データ!$C:$C,$A9,データ!$E:$E,2)</f>
        <v/>
      </c>
      <c r="G9" s="11">
        <f>COUNTIFS(データ!$C:$C,$A9,データ!$E:$E,3)</f>
        <v/>
      </c>
      <c r="H9" s="11">
        <f>COUNTIFS(データ!$C:$C,$A9,データ!$E:$E,4)</f>
        <v/>
      </c>
      <c r="I9" s="13">
        <f>IFERROR(COUNTIFS(データ!$C:$C,$A9,データ!$E:$E,1)/COUNTIF(データ!$C:$C,$A9),"-")</f>
        <v/>
      </c>
      <c r="J9" s="13">
        <f>IFERROR((COUNTIFS(データ!$C:$C,$A9,データ!$E:$E,1)+COUNTIFS(データ!$C:$C,$A9,データ!$E:$E,2))/COUNTIF(データ!$C:$C,$A9),"-")</f>
        <v/>
      </c>
      <c r="K9" s="14">
        <f>SUMIF(データ!$C:$C,$A9,データ!$F:$F)</f>
        <v/>
      </c>
      <c r="L9" s="14">
        <f>IFERROR(AVERAGEIF(データ!$C:$C,$A9,データ!$F:$F),"-")</f>
        <v/>
      </c>
    </row>
    <row r="10" ht="22" customHeight="1">
      <c r="A10" s="5" t="inlineStr">
        <is>
          <t>中村五郎</t>
        </is>
      </c>
      <c r="B10" s="6">
        <f>SUMPRODUCT((データ!$C$2:$C$2000=$A10)*1/COUNTIF(データ!$A$2:$A$2000,データ!$A$2:$A$2000)*(データ!$C$2:$C$2000=$A10))</f>
        <v/>
      </c>
      <c r="C10" s="6">
        <f>COUNTIF(データ!$C:$C,$A10)</f>
        <v/>
      </c>
      <c r="D10" s="7">
        <f>IFERROR(AVERAGEIF(データ!$C:$C,$A10,データ!$E:$E),"-")</f>
        <v/>
      </c>
      <c r="E10" s="6">
        <f>COUNTIFS(データ!$C:$C,$A10,データ!$E:$E,1)</f>
        <v/>
      </c>
      <c r="F10" s="6">
        <f>COUNTIFS(データ!$C:$C,$A10,データ!$E:$E,2)</f>
        <v/>
      </c>
      <c r="G10" s="6">
        <f>COUNTIFS(データ!$C:$C,$A10,データ!$E:$E,3)</f>
        <v/>
      </c>
      <c r="H10" s="6">
        <f>COUNTIFS(データ!$C:$C,$A10,データ!$E:$E,4)</f>
        <v/>
      </c>
      <c r="I10" s="8">
        <f>IFERROR(COUNTIFS(データ!$C:$C,$A10,データ!$E:$E,1)/COUNTIF(データ!$C:$C,$A10),"-")</f>
        <v/>
      </c>
      <c r="J10" s="8">
        <f>IFERROR((COUNTIFS(データ!$C:$C,$A10,データ!$E:$E,1)+COUNTIFS(データ!$C:$C,$A10,データ!$E:$E,2))/COUNTIF(データ!$C:$C,$A10),"-")</f>
        <v/>
      </c>
      <c r="K10" s="9">
        <f>SUMIF(データ!$C:$C,$A10,データ!$F:$F)</f>
        <v/>
      </c>
      <c r="L10" s="9">
        <f>IFERROR(AVERAGEIF(データ!$C:$C,$A10,データ!$F:$F),"-")</f>
        <v/>
      </c>
    </row>
    <row r="11" ht="22" customHeight="1">
      <c r="A11" s="10" t="inlineStr">
        <is>
          <t>小林六郎</t>
        </is>
      </c>
      <c r="B11" s="11">
        <f>SUMPRODUCT((データ!$C$2:$C$2000=$A11)*1/COUNTIF(データ!$A$2:$A$2000,データ!$A$2:$A$2000)*(データ!$C$2:$C$2000=$A11))</f>
        <v/>
      </c>
      <c r="C11" s="11">
        <f>COUNTIF(データ!$C:$C,$A11)</f>
        <v/>
      </c>
      <c r="D11" s="12">
        <f>IFERROR(AVERAGEIF(データ!$C:$C,$A11,データ!$E:$E),"-")</f>
        <v/>
      </c>
      <c r="E11" s="11">
        <f>COUNTIFS(データ!$C:$C,$A11,データ!$E:$E,1)</f>
        <v/>
      </c>
      <c r="F11" s="11">
        <f>COUNTIFS(データ!$C:$C,$A11,データ!$E:$E,2)</f>
        <v/>
      </c>
      <c r="G11" s="11">
        <f>COUNTIFS(データ!$C:$C,$A11,データ!$E:$E,3)</f>
        <v/>
      </c>
      <c r="H11" s="11">
        <f>COUNTIFS(データ!$C:$C,$A11,データ!$E:$E,4)</f>
        <v/>
      </c>
      <c r="I11" s="13">
        <f>IFERROR(COUNTIFS(データ!$C:$C,$A11,データ!$E:$E,1)/COUNTIF(データ!$C:$C,$A11),"-")</f>
        <v/>
      </c>
      <c r="J11" s="13">
        <f>IFERROR((COUNTIFS(データ!$C:$C,$A11,データ!$E:$E,1)+COUNTIFS(データ!$C:$C,$A11,データ!$E:$E,2))/COUNTIF(データ!$C:$C,$A11),"-")</f>
        <v/>
      </c>
      <c r="K11" s="14">
        <f>SUMIF(データ!$C:$C,$A11,データ!$F:$F)</f>
        <v/>
      </c>
      <c r="L11" s="14">
        <f>IFERROR(AVERAGEIF(データ!$C:$C,$A11,データ!$F:$F),"-")</f>
        <v/>
      </c>
    </row>
    <row r="12" ht="22" customHeight="1">
      <c r="A12" s="5" t="inlineStr">
        <is>
          <t>加藤七海</t>
        </is>
      </c>
      <c r="B12" s="6">
        <f>SUMPRODUCT((データ!$C$2:$C$2000=$A12)*1/COUNTIF(データ!$A$2:$A$2000,データ!$A$2:$A$2000)*(データ!$C$2:$C$2000=$A12))</f>
        <v/>
      </c>
      <c r="C12" s="6">
        <f>COUNTIF(データ!$C:$C,$A12)</f>
        <v/>
      </c>
      <c r="D12" s="7">
        <f>IFERROR(AVERAGEIF(データ!$C:$C,$A12,データ!$E:$E),"-")</f>
        <v/>
      </c>
      <c r="E12" s="6">
        <f>COUNTIFS(データ!$C:$C,$A12,データ!$E:$E,1)</f>
        <v/>
      </c>
      <c r="F12" s="6">
        <f>COUNTIFS(データ!$C:$C,$A12,データ!$E:$E,2)</f>
        <v/>
      </c>
      <c r="G12" s="6">
        <f>COUNTIFS(データ!$C:$C,$A12,データ!$E:$E,3)</f>
        <v/>
      </c>
      <c r="H12" s="6">
        <f>COUNTIFS(データ!$C:$C,$A12,データ!$E:$E,4)</f>
        <v/>
      </c>
      <c r="I12" s="8">
        <f>IFERROR(COUNTIFS(データ!$C:$C,$A12,データ!$E:$E,1)/COUNTIF(データ!$C:$C,$A12),"-")</f>
        <v/>
      </c>
      <c r="J12" s="8">
        <f>IFERROR((COUNTIFS(データ!$C:$C,$A12,データ!$E:$E,1)+COUNTIFS(データ!$C:$C,$A12,データ!$E:$E,2))/COUNTIF(データ!$C:$C,$A12),"-")</f>
        <v/>
      </c>
      <c r="K12" s="9">
        <f>SUMIF(データ!$C:$C,$A12,データ!$F:$F)</f>
        <v/>
      </c>
      <c r="L12" s="9">
        <f>IFERROR(AVERAGEIF(データ!$C:$C,$A12,データ!$F:$F),"-")</f>
        <v/>
      </c>
    </row>
    <row r="13" ht="22" customHeight="1">
      <c r="A13" s="10" t="inlineStr">
        <is>
          <t>吉田八重</t>
        </is>
      </c>
      <c r="B13" s="11">
        <f>SUMPRODUCT((データ!$C$2:$C$2000=$A13)*1/COUNTIF(データ!$A$2:$A$2000,データ!$A$2:$A$2000)*(データ!$C$2:$C$2000=$A13))</f>
        <v/>
      </c>
      <c r="C13" s="11">
        <f>COUNTIF(データ!$C:$C,$A13)</f>
        <v/>
      </c>
      <c r="D13" s="12">
        <f>IFERROR(AVERAGEIF(データ!$C:$C,$A13,データ!$E:$E),"-")</f>
        <v/>
      </c>
      <c r="E13" s="11">
        <f>COUNTIFS(データ!$C:$C,$A13,データ!$E:$E,1)</f>
        <v/>
      </c>
      <c r="F13" s="11">
        <f>COUNTIFS(データ!$C:$C,$A13,データ!$E:$E,2)</f>
        <v/>
      </c>
      <c r="G13" s="11">
        <f>COUNTIFS(データ!$C:$C,$A13,データ!$E:$E,3)</f>
        <v/>
      </c>
      <c r="H13" s="11">
        <f>COUNTIFS(データ!$C:$C,$A13,データ!$E:$E,4)</f>
        <v/>
      </c>
      <c r="I13" s="13">
        <f>IFERROR(COUNTIFS(データ!$C:$C,$A13,データ!$E:$E,1)/COUNTIF(データ!$C:$C,$A13),"-")</f>
        <v/>
      </c>
      <c r="J13" s="13">
        <f>IFERROR((COUNTIFS(データ!$C:$C,$A13,データ!$E:$E,1)+COUNTIFS(データ!$C:$C,$A13,データ!$E:$E,2))/COUNTIF(データ!$C:$C,$A13),"-")</f>
        <v/>
      </c>
      <c r="K13" s="14">
        <f>SUMIF(データ!$C:$C,$A13,データ!$F:$F)</f>
        <v/>
      </c>
      <c r="L13" s="14">
        <f>IFERROR(AVERAGEIF(データ!$C:$C,$A13,データ!$F:$F),"-")</f>
        <v/>
      </c>
    </row>
    <row r="14" ht="22" customHeight="1">
      <c r="A14" s="5" t="inlineStr">
        <is>
          <t>山本九太</t>
        </is>
      </c>
      <c r="B14" s="6">
        <f>SUMPRODUCT((データ!$C$2:$C$2000=$A14)*1/COUNTIF(データ!$A$2:$A$2000,データ!$A$2:$A$2000)*(データ!$C$2:$C$2000=$A14))</f>
        <v/>
      </c>
      <c r="C14" s="6">
        <f>COUNTIF(データ!$C:$C,$A14)</f>
        <v/>
      </c>
      <c r="D14" s="7">
        <f>IFERROR(AVERAGEIF(データ!$C:$C,$A14,データ!$E:$E),"-")</f>
        <v/>
      </c>
      <c r="E14" s="6">
        <f>COUNTIFS(データ!$C:$C,$A14,データ!$E:$E,1)</f>
        <v/>
      </c>
      <c r="F14" s="6">
        <f>COUNTIFS(データ!$C:$C,$A14,データ!$E:$E,2)</f>
        <v/>
      </c>
      <c r="G14" s="6">
        <f>COUNTIFS(データ!$C:$C,$A14,データ!$E:$E,3)</f>
        <v/>
      </c>
      <c r="H14" s="6">
        <f>COUNTIFS(データ!$C:$C,$A14,データ!$E:$E,4)</f>
        <v/>
      </c>
      <c r="I14" s="8">
        <f>IFERROR(COUNTIFS(データ!$C:$C,$A14,データ!$E:$E,1)/COUNTIF(データ!$C:$C,$A14),"-")</f>
        <v/>
      </c>
      <c r="J14" s="8">
        <f>IFERROR((COUNTIFS(データ!$C:$C,$A14,データ!$E:$E,1)+COUNTIFS(データ!$C:$C,$A14,データ!$E:$E,2))/COUNTIF(データ!$C:$C,$A14),"-")</f>
        <v/>
      </c>
      <c r="K14" s="9">
        <f>SUMIF(データ!$C:$C,$A14,データ!$F:$F)</f>
        <v/>
      </c>
      <c r="L14" s="9">
        <f>IFERROR(AVERAGEIF(データ!$C:$C,$A14,データ!$F:$F),"-")</f>
        <v/>
      </c>
    </row>
    <row r="15" ht="22" customHeight="1">
      <c r="A15" s="10" t="inlineStr">
        <is>
          <t>松本十子</t>
        </is>
      </c>
      <c r="B15" s="11">
        <f>SUMPRODUCT((データ!$C$2:$C$2000=$A15)*1/COUNTIF(データ!$A$2:$A$2000,データ!$A$2:$A$2000)*(データ!$C$2:$C$2000=$A15))</f>
        <v/>
      </c>
      <c r="C15" s="11">
        <f>COUNTIF(データ!$C:$C,$A15)</f>
        <v/>
      </c>
      <c r="D15" s="12">
        <f>IFERROR(AVERAGEIF(データ!$C:$C,$A15,データ!$E:$E),"-")</f>
        <v/>
      </c>
      <c r="E15" s="11">
        <f>COUNTIFS(データ!$C:$C,$A15,データ!$E:$E,1)</f>
        <v/>
      </c>
      <c r="F15" s="11">
        <f>COUNTIFS(データ!$C:$C,$A15,データ!$E:$E,2)</f>
        <v/>
      </c>
      <c r="G15" s="11">
        <f>COUNTIFS(データ!$C:$C,$A15,データ!$E:$E,3)</f>
        <v/>
      </c>
      <c r="H15" s="11">
        <f>COUNTIFS(データ!$C:$C,$A15,データ!$E:$E,4)</f>
        <v/>
      </c>
      <c r="I15" s="13">
        <f>IFERROR(COUNTIFS(データ!$C:$C,$A15,データ!$E:$E,1)/COUNTIF(データ!$C:$C,$A15),"-")</f>
        <v/>
      </c>
      <c r="J15" s="13">
        <f>IFERROR((COUNTIFS(データ!$C:$C,$A15,データ!$E:$E,1)+COUNTIFS(データ!$C:$C,$A15,データ!$E:$E,2))/COUNTIF(データ!$C:$C,$A15),"-")</f>
        <v/>
      </c>
      <c r="K15" s="14">
        <f>SUMIF(データ!$C:$C,$A15,データ!$F:$F)</f>
        <v/>
      </c>
      <c r="L15" s="14">
        <f>IFERROR(AVERAGEIF(データ!$C:$C,$A15,データ!$F:$F),"-")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3" max="3"/>
    <col width="8" customWidth="1" min="4" max="4"/>
  </cols>
  <sheetData>
    <row r="1">
      <c r="A1" s="15" t="inlineStr">
        <is>
          <t>参加者リスト（ここに追加）</t>
        </is>
      </c>
      <c r="C1" s="16" t="inlineStr">
        <is>
          <t>ウマ設定</t>
        </is>
      </c>
    </row>
    <row r="2">
      <c r="A2" t="inlineStr">
        <is>
          <t>鈴木太郎</t>
        </is>
      </c>
      <c r="C2" t="inlineStr">
        <is>
          <t>1位</t>
        </is>
      </c>
      <c r="D2" t="n">
        <v>20</v>
      </c>
    </row>
    <row r="3">
      <c r="A3" t="inlineStr">
        <is>
          <t>田中花子</t>
        </is>
      </c>
      <c r="C3" t="inlineStr">
        <is>
          <t>2位</t>
        </is>
      </c>
      <c r="D3" t="n">
        <v>10</v>
      </c>
    </row>
    <row r="4">
      <c r="A4" t="inlineStr">
        <is>
          <t>佐藤一郎</t>
        </is>
      </c>
      <c r="C4" t="inlineStr">
        <is>
          <t>3位</t>
        </is>
      </c>
      <c r="D4" t="n">
        <v>-10</v>
      </c>
    </row>
    <row r="5">
      <c r="A5" t="inlineStr">
        <is>
          <t>山田次郎</t>
        </is>
      </c>
      <c r="C5" t="inlineStr">
        <is>
          <t>4位</t>
        </is>
      </c>
      <c r="D5" t="n">
        <v>-20</v>
      </c>
    </row>
    <row r="6">
      <c r="A6" t="inlineStr">
        <is>
          <t>伊藤三郎</t>
        </is>
      </c>
      <c r="C6" t="inlineStr">
        <is>
          <t>返し点</t>
        </is>
      </c>
    </row>
    <row r="7">
      <c r="A7" t="inlineStr">
        <is>
          <t>渡辺四郎</t>
        </is>
      </c>
      <c r="C7" t="n">
        <v>30000</v>
      </c>
    </row>
    <row r="8">
      <c r="A8" t="inlineStr">
        <is>
          <t>中村五郎</t>
        </is>
      </c>
    </row>
    <row r="9">
      <c r="A9" t="inlineStr">
        <is>
          <t>小林六郎</t>
        </is>
      </c>
    </row>
    <row r="10">
      <c r="A10" t="inlineStr">
        <is>
          <t>加藤七海</t>
        </is>
      </c>
    </row>
    <row r="11">
      <c r="A11" t="inlineStr">
        <is>
          <t>吉田八重</t>
        </is>
      </c>
    </row>
    <row r="12">
      <c r="A12" t="inlineStr">
        <is>
          <t>山本九太</t>
        </is>
      </c>
    </row>
    <row r="13">
      <c r="A13" t="inlineStr">
        <is>
          <t>松本十子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7" customWidth="1" min="4" max="4"/>
    <col width="7" customWidth="1" min="5" max="5"/>
    <col width="12" customWidth="1" min="6" max="6"/>
  </cols>
  <sheetData>
    <row r="1" ht="25" customHeight="1">
      <c r="A1" s="17" t="inlineStr">
        <is>
          <t>回数</t>
        </is>
      </c>
      <c r="B1" s="17" t="inlineStr">
        <is>
          <t>日付</t>
        </is>
      </c>
      <c r="C1" s="17" t="inlineStr">
        <is>
          <t>参加者名</t>
        </is>
      </c>
      <c r="D1" s="17" t="inlineStr">
        <is>
          <t>卓</t>
        </is>
      </c>
      <c r="E1" s="17" t="inlineStr">
        <is>
          <t>順位</t>
        </is>
      </c>
      <c r="F1" s="17" t="inlineStr">
        <is>
          <t>点数</t>
        </is>
      </c>
    </row>
    <row r="2">
      <c r="A2" s="18" t="n">
        <v>1</v>
      </c>
      <c r="B2" s="19" t="inlineStr">
        <is>
          <t>2024/01/20</t>
        </is>
      </c>
      <c r="C2" s="18" t="inlineStr">
        <is>
          <t>鈴木太郎</t>
        </is>
      </c>
      <c r="D2" s="18" t="inlineStr">
        <is>
          <t>-</t>
        </is>
      </c>
      <c r="E2" s="18" t="n">
        <v>1</v>
      </c>
      <c r="F2" s="18" t="n">
        <v>42000</v>
      </c>
    </row>
    <row r="3">
      <c r="A3" s="18" t="n">
        <v>1</v>
      </c>
      <c r="B3" s="19" t="inlineStr">
        <is>
          <t>2024/01/20</t>
        </is>
      </c>
      <c r="C3" s="18" t="inlineStr">
        <is>
          <t>田中花子</t>
        </is>
      </c>
      <c r="D3" s="18" t="inlineStr">
        <is>
          <t>-</t>
        </is>
      </c>
      <c r="E3" s="18" t="n">
        <v>2</v>
      </c>
      <c r="F3" s="18" t="n">
        <v>27000</v>
      </c>
    </row>
    <row r="4">
      <c r="A4" s="18" t="n">
        <v>1</v>
      </c>
      <c r="B4" s="19" t="inlineStr">
        <is>
          <t>2024/01/20</t>
        </is>
      </c>
      <c r="C4" s="18" t="inlineStr">
        <is>
          <t>佐藤一郎</t>
        </is>
      </c>
      <c r="D4" s="18" t="inlineStr">
        <is>
          <t>-</t>
        </is>
      </c>
      <c r="E4" s="18" t="n">
        <v>3</v>
      </c>
      <c r="F4" s="18" t="n">
        <v>18000</v>
      </c>
    </row>
    <row r="5">
      <c r="A5" s="18" t="n">
        <v>1</v>
      </c>
      <c r="B5" s="19" t="inlineStr">
        <is>
          <t>2024/01/20</t>
        </is>
      </c>
      <c r="C5" s="18" t="inlineStr">
        <is>
          <t>山田次郎</t>
        </is>
      </c>
      <c r="D5" s="18" t="inlineStr">
        <is>
          <t>-</t>
        </is>
      </c>
      <c r="E5" s="18" t="n">
        <v>4</v>
      </c>
      <c r="F5" s="18" t="n">
        <v>9000</v>
      </c>
    </row>
    <row r="6">
      <c r="A6" s="18" t="n">
        <v>2</v>
      </c>
      <c r="B6" s="19" t="inlineStr">
        <is>
          <t>2024/02/17</t>
        </is>
      </c>
      <c r="C6" s="18" t="inlineStr">
        <is>
          <t>鈴木太郎</t>
        </is>
      </c>
      <c r="D6" s="18" t="inlineStr">
        <is>
          <t>A</t>
        </is>
      </c>
      <c r="E6" s="18" t="n">
        <v>2</v>
      </c>
      <c r="F6" s="18" t="n">
        <v>29000</v>
      </c>
    </row>
    <row r="7">
      <c r="A7" s="18" t="n">
        <v>2</v>
      </c>
      <c r="B7" s="19" t="inlineStr">
        <is>
          <t>2024/02/17</t>
        </is>
      </c>
      <c r="C7" s="18" t="inlineStr">
        <is>
          <t>田中花子</t>
        </is>
      </c>
      <c r="D7" s="18" t="inlineStr">
        <is>
          <t>A</t>
        </is>
      </c>
      <c r="E7" s="18" t="n">
        <v>1</v>
      </c>
      <c r="F7" s="18" t="n">
        <v>38000</v>
      </c>
    </row>
    <row r="8">
      <c r="A8" s="18" t="n">
        <v>2</v>
      </c>
      <c r="B8" s="19" t="inlineStr">
        <is>
          <t>2024/02/17</t>
        </is>
      </c>
      <c r="C8" s="18" t="inlineStr">
        <is>
          <t>佐藤一郎</t>
        </is>
      </c>
      <c r="D8" s="18" t="inlineStr">
        <is>
          <t>A</t>
        </is>
      </c>
      <c r="E8" s="18" t="n">
        <v>4</v>
      </c>
      <c r="F8" s="18" t="n">
        <v>8000</v>
      </c>
    </row>
    <row r="9">
      <c r="A9" s="18" t="n">
        <v>2</v>
      </c>
      <c r="B9" s="19" t="inlineStr">
        <is>
          <t>2024/02/17</t>
        </is>
      </c>
      <c r="C9" s="18" t="inlineStr">
        <is>
          <t>山田次郎</t>
        </is>
      </c>
      <c r="D9" s="18" t="inlineStr">
        <is>
          <t>A</t>
        </is>
      </c>
      <c r="E9" s="18" t="n">
        <v>3</v>
      </c>
      <c r="F9" s="18" t="n">
        <v>21000</v>
      </c>
    </row>
    <row r="10">
      <c r="A10" s="18" t="n">
        <v>2</v>
      </c>
      <c r="B10" s="19" t="inlineStr">
        <is>
          <t>2024/02/17</t>
        </is>
      </c>
      <c r="C10" s="18" t="inlineStr">
        <is>
          <t>伊藤三郎</t>
        </is>
      </c>
      <c r="D10" s="18" t="inlineStr">
        <is>
          <t>B</t>
        </is>
      </c>
      <c r="E10" s="18" t="n">
        <v>1</v>
      </c>
      <c r="F10" s="18" t="n">
        <v>44000</v>
      </c>
    </row>
    <row r="11">
      <c r="A11" s="18" t="n">
        <v>2</v>
      </c>
      <c r="B11" s="19" t="inlineStr">
        <is>
          <t>2024/02/17</t>
        </is>
      </c>
      <c r="C11" s="18" t="inlineStr">
        <is>
          <t>渡辺四郎</t>
        </is>
      </c>
      <c r="D11" s="18" t="inlineStr">
        <is>
          <t>B</t>
        </is>
      </c>
      <c r="E11" s="18" t="n">
        <v>3</v>
      </c>
      <c r="F11" s="18" t="n">
        <v>20000</v>
      </c>
    </row>
    <row r="12">
      <c r="A12" s="18" t="n">
        <v>2</v>
      </c>
      <c r="B12" s="19" t="inlineStr">
        <is>
          <t>2024/02/17</t>
        </is>
      </c>
      <c r="C12" s="18" t="inlineStr">
        <is>
          <t>中村五郎</t>
        </is>
      </c>
      <c r="D12" s="18" t="inlineStr">
        <is>
          <t>B</t>
        </is>
      </c>
      <c r="E12" s="18" t="n">
        <v>2</v>
      </c>
      <c r="F12" s="18" t="n">
        <v>32000</v>
      </c>
    </row>
    <row r="13">
      <c r="A13" s="18" t="n">
        <v>2</v>
      </c>
      <c r="B13" s="19" t="inlineStr">
        <is>
          <t>2024/02/17</t>
        </is>
      </c>
      <c r="C13" s="18" t="inlineStr">
        <is>
          <t>小林六郎</t>
        </is>
      </c>
      <c r="D13" s="18" t="inlineStr">
        <is>
          <t>B</t>
        </is>
      </c>
      <c r="E13" s="18" t="n">
        <v>4</v>
      </c>
      <c r="F13" s="18" t="n">
        <v>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/>
  </sheetPr>
  <dimension ref="A1:F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8" customWidth="1" min="4" max="4"/>
    <col width="10" customWidth="1" min="5" max="5"/>
    <col width="16" customWidth="1" min="6" max="6"/>
  </cols>
  <sheetData>
    <row r="1" ht="40" customHeight="1">
      <c r="A1" s="20" t="inlineStr">
        <is>
          <t>第X回 成績入力（4人）</t>
        </is>
      </c>
    </row>
    <row r="2" ht="22" customHeight="1">
      <c r="A2" s="21" t="inlineStr">
        <is>
          <t>日付</t>
        </is>
      </c>
      <c r="B2" s="22" t="n"/>
      <c r="D2" s="21" t="inlineStr">
        <is>
          <t>回数</t>
        </is>
      </c>
      <c r="E2" s="23" t="n"/>
    </row>
    <row r="3" ht="8" customHeight="1"/>
    <row r="4" ht="28" customHeight="1">
      <c r="A4" s="24" t="inlineStr">
        <is>
          <t>▶ 対局結果</t>
        </is>
      </c>
    </row>
    <row r="5" ht="22" customHeight="1">
      <c r="A5" s="25" t="inlineStr">
        <is>
          <t>参加者</t>
        </is>
      </c>
      <c r="B5" s="25" t="inlineStr">
        <is>
          <t>順位</t>
        </is>
      </c>
      <c r="C5" s="25" t="inlineStr">
        <is>
          <t>点数（素点）</t>
        </is>
      </c>
      <c r="D5" s="25" t="inlineStr">
        <is>
          <t>ウマ</t>
        </is>
      </c>
      <c r="E5" s="25" t="inlineStr">
        <is>
          <t>収支</t>
        </is>
      </c>
      <c r="F5" s="25" t="inlineStr">
        <is>
          <t>メモ</t>
        </is>
      </c>
    </row>
    <row r="6" ht="22" customHeight="1">
      <c r="A6" s="26" t="n"/>
      <c r="B6" s="27" t="n"/>
      <c r="C6" s="27" t="n"/>
      <c r="D6" s="28">
        <f>IF(B6="","",CHOOSE(B6,設定!$D$2,設定!$D$3,設定!$D$4,設定!$D$5))</f>
        <v/>
      </c>
      <c r="E6" s="29">
        <f>IF(C6="","",ROUND((C6-設定!$C$7)/1000+D6,1))</f>
        <v/>
      </c>
      <c r="F6" s="27" t="n"/>
    </row>
    <row r="7" ht="22" customHeight="1">
      <c r="A7" s="30" t="n"/>
      <c r="B7" s="31" t="n"/>
      <c r="C7" s="31" t="n"/>
      <c r="D7" s="32">
        <f>IF(B7="","",CHOOSE(B7,設定!$D$2,設定!$D$3,設定!$D$4,設定!$D$5))</f>
        <v/>
      </c>
      <c r="E7" s="33">
        <f>IF(C7="","",ROUND((C7-設定!$C$7)/1000+D7,1))</f>
        <v/>
      </c>
      <c r="F7" s="31" t="n"/>
    </row>
    <row r="8" ht="22" customHeight="1">
      <c r="A8" s="26" t="n"/>
      <c r="B8" s="27" t="n"/>
      <c r="C8" s="27" t="n"/>
      <c r="D8" s="28">
        <f>IF(B8="","",CHOOSE(B8,設定!$D$2,設定!$D$3,設定!$D$4,設定!$D$5))</f>
        <v/>
      </c>
      <c r="E8" s="29">
        <f>IF(C8="","",ROUND((C8-設定!$C$7)/1000+D8,1))</f>
        <v/>
      </c>
      <c r="F8" s="27" t="n"/>
    </row>
    <row r="9" ht="22" customHeight="1">
      <c r="A9" s="30" t="n"/>
      <c r="B9" s="31" t="n"/>
      <c r="C9" s="31" t="n"/>
      <c r="D9" s="32">
        <f>IF(B9="","",CHOOSE(B9,設定!$D$2,設定!$D$3,設定!$D$4,設定!$D$5))</f>
        <v/>
      </c>
      <c r="E9" s="33">
        <f>IF(C9="","",ROUND((C9-設定!$C$7)/1000+D9,1))</f>
        <v/>
      </c>
      <c r="F9" s="31" t="n"/>
    </row>
    <row r="10" ht="8" customHeight="1"/>
    <row r="11">
      <c r="A11" s="34" t="inlineStr">
        <is>
          <t>点数合計（確認用）</t>
        </is>
      </c>
      <c r="D11" s="35">
        <f>SUM(C6:C9)</f>
        <v/>
      </c>
    </row>
    <row r="12" ht="20" customHeight="1">
      <c r="A12" s="36" t="inlineStr">
        <is>
          <t>※ 上の合計が 100,000 点になっていれば正確（30,000×4 - チップ精算分を除く）</t>
        </is>
      </c>
    </row>
    <row r="13" ht="8" customHeight="1"/>
    <row r="14" ht="25" customHeight="1">
      <c r="A14" s="37" t="inlineStr">
        <is>
          <t>✅ 入力完了後：「集計に追加」マクロを実行するとマスターに反映されます</t>
        </is>
      </c>
    </row>
  </sheetData>
  <mergeCells count="5">
    <mergeCell ref="A11:C11"/>
    <mergeCell ref="A14:F14"/>
    <mergeCell ref="A1:F1"/>
    <mergeCell ref="A4:F4"/>
    <mergeCell ref="A12:C12"/>
  </mergeCells>
  <dataValidations count="2">
    <dataValidation sqref="A6:A9" showDropDown="0" showInputMessage="0" showErrorMessage="1" allowBlank="0" errorTitle="入力エラー" error="参加者リストから選択してください" type="list">
      <formula1>設定!$A$2:$A$200</formula1>
    </dataValidation>
    <dataValidation sqref="B6:B9" showDropDown="0" showInputMessage="0" showErrorMessage="0" allowBlank="0" type="list">
      <formula1>"1,2,3,4"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360C"/>
    <outlinePr summaryBelow="1" summaryRight="1"/>
    <pageSetUpPr/>
  </sheetPr>
  <dimension ref="A1:F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8" customWidth="1" min="4" max="4"/>
    <col width="10" customWidth="1" min="5" max="5"/>
    <col width="16" customWidth="1" min="6" max="6"/>
  </cols>
  <sheetData>
    <row r="1" ht="40" customHeight="1">
      <c r="A1" s="20" t="inlineStr">
        <is>
          <t>第X回 成績入力（8人 / A卓・B卓）</t>
        </is>
      </c>
    </row>
    <row r="2" ht="22" customHeight="1">
      <c r="A2" s="21" t="inlineStr">
        <is>
          <t>日付</t>
        </is>
      </c>
      <c r="B2" s="22" t="n"/>
      <c r="D2" s="21" t="inlineStr">
        <is>
          <t>回数</t>
        </is>
      </c>
      <c r="E2" s="23" t="n"/>
    </row>
    <row r="3" ht="8" customHeight="1"/>
    <row r="4" ht="28" customHeight="1">
      <c r="A4" s="38" t="inlineStr">
        <is>
          <t>🀇  A 卓</t>
        </is>
      </c>
    </row>
    <row r="5" ht="22" customHeight="1">
      <c r="A5" s="39" t="inlineStr">
        <is>
          <t>参加者</t>
        </is>
      </c>
      <c r="B5" s="39" t="inlineStr">
        <is>
          <t>順位</t>
        </is>
      </c>
      <c r="C5" s="39" t="inlineStr">
        <is>
          <t>点数（素点）</t>
        </is>
      </c>
      <c r="D5" s="39" t="inlineStr">
        <is>
          <t>ウマ</t>
        </is>
      </c>
      <c r="E5" s="39" t="inlineStr">
        <is>
          <t>収支</t>
        </is>
      </c>
      <c r="F5" s="39" t="inlineStr">
        <is>
          <t>メモ</t>
        </is>
      </c>
    </row>
    <row r="6" ht="22" customHeight="1">
      <c r="A6" s="40" t="n"/>
      <c r="B6" s="41" t="n"/>
      <c r="C6" s="41" t="n"/>
      <c r="D6" s="42">
        <f>IF(B6="","",CHOOSE(B6,設定!$D$2,設定!$D$3,設定!$D$4,設定!$D$5))</f>
        <v/>
      </c>
      <c r="E6" s="43">
        <f>IF(C6="","",ROUND((C6-設定!$C$7)/1000+D6,1))</f>
        <v/>
      </c>
      <c r="F6" s="41" t="n"/>
    </row>
    <row r="7" ht="22" customHeight="1">
      <c r="A7" s="30" t="n"/>
      <c r="B7" s="31" t="n"/>
      <c r="C7" s="31" t="n"/>
      <c r="D7" s="32">
        <f>IF(B7="","",CHOOSE(B7,設定!$D$2,設定!$D$3,設定!$D$4,設定!$D$5))</f>
        <v/>
      </c>
      <c r="E7" s="33">
        <f>IF(C7="","",ROUND((C7-設定!$C$7)/1000+D7,1))</f>
        <v/>
      </c>
      <c r="F7" s="31" t="n"/>
    </row>
    <row r="8" ht="22" customHeight="1">
      <c r="A8" s="40" t="n"/>
      <c r="B8" s="41" t="n"/>
      <c r="C8" s="41" t="n"/>
      <c r="D8" s="42">
        <f>IF(B8="","",CHOOSE(B8,設定!$D$2,設定!$D$3,設定!$D$4,設定!$D$5))</f>
        <v/>
      </c>
      <c r="E8" s="43">
        <f>IF(C8="","",ROUND((C8-設定!$C$7)/1000+D8,1))</f>
        <v/>
      </c>
      <c r="F8" s="41" t="n"/>
    </row>
    <row r="9" ht="22" customHeight="1">
      <c r="A9" s="30" t="n"/>
      <c r="B9" s="31" t="n"/>
      <c r="C9" s="31" t="n"/>
      <c r="D9" s="32">
        <f>IF(B9="","",CHOOSE(B9,設定!$D$2,設定!$D$3,設定!$D$4,設定!$D$5))</f>
        <v/>
      </c>
      <c r="E9" s="33">
        <f>IF(C9="","",ROUND((C9-設定!$C$7)/1000+D9,1))</f>
        <v/>
      </c>
      <c r="F9" s="31" t="n"/>
    </row>
    <row r="10" ht="8" customHeight="1"/>
    <row r="11">
      <c r="A11" s="44" t="inlineStr">
        <is>
          <t>A卓 点数合計</t>
        </is>
      </c>
      <c r="D11" s="35">
        <f>SUM(C6:C9)</f>
        <v/>
      </c>
    </row>
    <row r="12" ht="10" customHeight="1"/>
    <row r="13" ht="28" customHeight="1">
      <c r="A13" s="45" t="inlineStr">
        <is>
          <t>🀗  B 卓</t>
        </is>
      </c>
    </row>
    <row r="14" ht="22" customHeight="1">
      <c r="A14" s="46" t="inlineStr">
        <is>
          <t>参加者</t>
        </is>
      </c>
      <c r="B14" s="46" t="inlineStr">
        <is>
          <t>順位</t>
        </is>
      </c>
      <c r="C14" s="46" t="inlineStr">
        <is>
          <t>点数（素点）</t>
        </is>
      </c>
      <c r="D14" s="46" t="inlineStr">
        <is>
          <t>ウマ</t>
        </is>
      </c>
      <c r="E14" s="46" t="inlineStr">
        <is>
          <t>収支</t>
        </is>
      </c>
      <c r="F14" s="46" t="inlineStr">
        <is>
          <t>メモ</t>
        </is>
      </c>
    </row>
    <row r="15" ht="22" customHeight="1">
      <c r="A15" s="47" t="n"/>
      <c r="B15" s="48" t="n"/>
      <c r="C15" s="48" t="n"/>
      <c r="D15" s="49">
        <f>IF(B15="","",CHOOSE(B15,設定!$D$2,設定!$D$3,設定!$D$4,設定!$D$5))</f>
        <v/>
      </c>
      <c r="E15" s="50">
        <f>IF(C15="","",ROUND((C15-設定!$C$7)/1000+D15,1))</f>
        <v/>
      </c>
      <c r="F15" s="48" t="n"/>
    </row>
    <row r="16" ht="22" customHeight="1">
      <c r="A16" s="30" t="n"/>
      <c r="B16" s="31" t="n"/>
      <c r="C16" s="31" t="n"/>
      <c r="D16" s="32">
        <f>IF(B16="","",CHOOSE(B16,設定!$D$2,設定!$D$3,設定!$D$4,設定!$D$5))</f>
        <v/>
      </c>
      <c r="E16" s="33">
        <f>IF(C16="","",ROUND((C16-設定!$C$7)/1000+D16,1))</f>
        <v/>
      </c>
      <c r="F16" s="31" t="n"/>
    </row>
    <row r="17" ht="22" customHeight="1">
      <c r="A17" s="47" t="n"/>
      <c r="B17" s="48" t="n"/>
      <c r="C17" s="48" t="n"/>
      <c r="D17" s="49">
        <f>IF(B17="","",CHOOSE(B17,設定!$D$2,設定!$D$3,設定!$D$4,設定!$D$5))</f>
        <v/>
      </c>
      <c r="E17" s="50">
        <f>IF(C17="","",ROUND((C17-設定!$C$7)/1000+D17,1))</f>
        <v/>
      </c>
      <c r="F17" s="48" t="n"/>
    </row>
    <row r="18" ht="22" customHeight="1">
      <c r="A18" s="30" t="n"/>
      <c r="B18" s="31" t="n"/>
      <c r="C18" s="31" t="n"/>
      <c r="D18" s="32">
        <f>IF(B18="","",CHOOSE(B18,設定!$D$2,設定!$D$3,設定!$D$4,設定!$D$5))</f>
        <v/>
      </c>
      <c r="E18" s="33">
        <f>IF(C18="","",ROUND((C18-設定!$C$7)/1000+D18,1))</f>
        <v/>
      </c>
      <c r="F18" s="31" t="n"/>
    </row>
    <row r="19" ht="8" customHeight="1"/>
    <row r="20">
      <c r="A20" s="44" t="inlineStr">
        <is>
          <t>B卓 点数合計</t>
        </is>
      </c>
      <c r="D20" s="35">
        <f>SUM(C15:C18)</f>
        <v/>
      </c>
    </row>
    <row r="21" ht="10" customHeight="1"/>
    <row r="22" ht="25" customHeight="1">
      <c r="A22" s="37" t="inlineStr">
        <is>
          <t>✅ 入力完了後：「集計に追加」マクロを実行するとマスターに反映されます</t>
        </is>
      </c>
    </row>
  </sheetData>
  <mergeCells count="6">
    <mergeCell ref="A11:C11"/>
    <mergeCell ref="A13:F13"/>
    <mergeCell ref="A1:F1"/>
    <mergeCell ref="A22:F22"/>
    <mergeCell ref="A4:F4"/>
    <mergeCell ref="A20:C20"/>
  </mergeCells>
  <dataValidations count="4">
    <dataValidation sqref="A6:A9" showDropDown="0" showInputMessage="0" showErrorMessage="1" allowBlank="0" errorTitle="入力エラー" error="参加者リストから選択してください" type="list">
      <formula1>設定!$A$2:$A$200</formula1>
    </dataValidation>
    <dataValidation sqref="B6:B9" showDropDown="0" showInputMessage="0" showErrorMessage="0" allowBlank="0" type="list">
      <formula1>"1,2,3,4"</formula1>
    </dataValidation>
    <dataValidation sqref="A15:A18" showDropDown="0" showInputMessage="0" showErrorMessage="1" allowBlank="0" errorTitle="入力エラー" error="参加者リストから選択してください" type="list">
      <formula1>設定!$A$2:$A$200</formula1>
    </dataValidation>
    <dataValidation sqref="B15:B18" showDropDown="0" showInputMessage="0" showErrorMessage="0" allowBlank="0" type="list">
      <formula1>"1,2,3,4"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D159"/>
  <sheetViews>
    <sheetView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55" customWidth="1" min="3" max="3"/>
    <col width="30" customWidth="1" min="4" max="4"/>
  </cols>
  <sheetData>
    <row r="1" ht="44" customHeight="1">
      <c r="A1" s="51" t="inlineStr">
        <is>
          <t>使い方ガイド  ―  シーン別操作手順</t>
        </is>
      </c>
    </row>
    <row r="2" ht="22" customHeight="1">
      <c r="A2" s="52" t="inlineStr">
        <is>
          <t>⚠  このファイルはマクロ（VBA）を使用します。最初に「VBAの設定」セクションを参照してください。</t>
        </is>
      </c>
    </row>
    <row r="3" ht="8" customHeight="1"/>
    <row r="4" ht="32" customHeight="1">
      <c r="A4" s="53" t="inlineStr">
        <is>
          <t>⚙  VBAの設定（はじめに1回だけ）</t>
        </is>
      </c>
    </row>
    <row r="5" ht="24" customHeight="1">
      <c r="B5" s="54" t="inlineStr">
        <is>
          <t>STEP 1 ｜ VBAコードを貼り付ける</t>
        </is>
      </c>
    </row>
    <row r="6" ht="20" customHeight="1">
      <c r="C6" s="55" t="inlineStr">
        <is>
          <t>① Excel で  Alt + F11  を押す（VBAエディターを開く）</t>
        </is>
      </c>
    </row>
    <row r="7" ht="20" customHeight="1">
      <c r="C7" s="55" t="inlineStr">
        <is>
          <t>② 左ペインでブック名を右クリック ▶ 挿入 ▶ 標準モジュール</t>
        </is>
      </c>
    </row>
    <row r="8" ht="20" customHeight="1">
      <c r="C8" s="55" t="inlineStr">
        <is>
          <t>③ このシート末尾の「VBAコード」を全選択してコピーし、モジュールに貼り付ける</t>
        </is>
      </c>
    </row>
    <row r="9" ht="20" customHeight="1">
      <c r="C9" s="55" t="inlineStr">
        <is>
          <t>④ Alt + F11 で Excel に戻る</t>
        </is>
      </c>
    </row>
    <row r="10" ht="24" customHeight="1">
      <c r="B10" s="54" t="inlineStr">
        <is>
          <t>STEP 2 ｜ マクロを有効にする</t>
        </is>
      </c>
    </row>
    <row r="11" ht="20" customHeight="1">
      <c r="C11" s="55" t="inlineStr">
        <is>
          <t>ファイルを開くとき「コンテンツを有効にする」を必ずクリックしてください。</t>
        </is>
      </c>
      <c r="D11" s="56" t="inlineStr">
        <is>
          <t>※ .xlsm 形式で保存すること（マクロ有効ブック）</t>
        </is>
      </c>
    </row>
    <row r="12" ht="8" customHeight="1"/>
    <row r="13" ht="32" customHeight="1">
      <c r="A13" s="57" t="inlineStr">
        <is>
          <t>🀇  シーン①  点数を記載したい（基本操作）</t>
        </is>
      </c>
    </row>
    <row r="14" ht="24" customHeight="1">
      <c r="B14" s="54" t="inlineStr">
        <is>
          <t>STEP 1 ｜ 今回の入力シートを作成する</t>
        </is>
      </c>
    </row>
    <row r="15" ht="20" customHeight="1">
      <c r="C15" s="55" t="inlineStr">
        <is>
          <t>・4人で対局 → 「新規シート_4人」マクロを実行</t>
        </is>
      </c>
      <c r="D15" s="56" t="inlineStr">
        <is>
          <t>サンプルシートをコピーして日付・回数をセットします</t>
        </is>
      </c>
    </row>
    <row r="16" ht="24" customHeight="1">
      <c r="C16" s="58" t="inlineStr">
        <is>
          <t>▶ マクロ実行: 「新規シート_4人」</t>
        </is>
      </c>
    </row>
    <row r="17" ht="20" customHeight="1">
      <c r="C17" s="55" t="inlineStr">
        <is>
          <t>・8人で対局（A卓／B卓） → 「新規シート_8人」マクロを実行</t>
        </is>
      </c>
    </row>
    <row r="18" ht="24" customHeight="1">
      <c r="C18" s="58" t="inlineStr">
        <is>
          <t>▶ マクロ実行: 「新規シート_8人」</t>
        </is>
      </c>
    </row>
    <row r="19" ht="20" customHeight="1">
      <c r="C19" s="55" t="inlineStr">
        <is>
          <t xml:space="preserve">  → 回数・日付を入力するダイアログが出るので入力してください。</t>
        </is>
      </c>
    </row>
    <row r="20" ht="24" customHeight="1">
      <c r="B20" s="54" t="inlineStr">
        <is>
          <t>STEP 2 ｜ 点数を入力する</t>
        </is>
      </c>
    </row>
    <row r="21" ht="20" customHeight="1">
      <c r="C21" s="55" t="inlineStr">
        <is>
          <t>① 参加者列（A列）：プルダウンからメンバー名を選択</t>
        </is>
      </c>
      <c r="D21" s="56" t="inlineStr">
        <is>
          <t>名前がない場合は「シーン②メンバー追加」を先に行ってください</t>
        </is>
      </c>
    </row>
    <row r="22" ht="20" customHeight="1">
      <c r="C22" s="55" t="inlineStr">
        <is>
          <t>② 順位列（B列）：1〜4 をプルダウンから選択</t>
        </is>
      </c>
    </row>
    <row r="23" ht="20" customHeight="1">
      <c r="C23" s="55" t="inlineStr">
        <is>
          <t>③ 点数列（C列）：素点を直接入力  （例: 42000）</t>
        </is>
      </c>
      <c r="D23" s="56" t="inlineStr">
        <is>
          <t>ウマ・収支は自動計算されます</t>
        </is>
      </c>
    </row>
    <row r="24" ht="20" customHeight="1">
      <c r="C24" s="55" t="inlineStr">
        <is>
          <t>④ 確認：シート下部の「点数合計」が 100,000 になっていればOK</t>
        </is>
      </c>
      <c r="D24" s="56" t="inlineStr">
        <is>
          <t>※ 30,000 × 4人 = 120,000 ではなく持ち点次第で変わります</t>
        </is>
      </c>
    </row>
    <row r="25" ht="24" customHeight="1">
      <c r="B25" s="54" t="inlineStr">
        <is>
          <t>STEP 3 ｜ マスターに反映する</t>
        </is>
      </c>
    </row>
    <row r="26" ht="20" customHeight="1">
      <c r="C26" s="55" t="inlineStr">
        <is>
          <t>入力完了後、「集計に追加」マクロを実行してください。</t>
        </is>
      </c>
      <c r="D26" s="56" t="inlineStr">
        <is>
          <t>マスターシートの成績・順位が自動更新されます</t>
        </is>
      </c>
    </row>
    <row r="27" ht="24" customHeight="1">
      <c r="C27" s="58" t="inlineStr">
        <is>
          <t>▶ マクロ実行: 「集計に追加」</t>
        </is>
      </c>
    </row>
    <row r="28" ht="20" customHeight="1">
      <c r="C28" s="55" t="inlineStr">
        <is>
          <t xml:space="preserve">  → 同じ回を再登録する場合、上書き確認ダイアログが表示されます。</t>
        </is>
      </c>
    </row>
    <row r="29" ht="8" customHeight="1"/>
    <row r="30" ht="32" customHeight="1">
      <c r="A30" s="59" t="inlineStr">
        <is>
          <t>👤  シーン②  メンバーを追加したい（特例）</t>
        </is>
      </c>
    </row>
    <row r="31" ht="24" customHeight="1">
      <c r="B31" s="54" t="inlineStr">
        <is>
          <t>方法A（推奨）｜ マクロで追加する  ※ 最も簡単</t>
        </is>
      </c>
    </row>
    <row r="32" ht="20" customHeight="1">
      <c r="C32" s="55" t="inlineStr">
        <is>
          <t>「メンバー追加」マクロを実行し、名前を入力するだけ。</t>
        </is>
      </c>
      <c r="D32" s="56" t="inlineStr">
        <is>
          <t>重複チェックもマクロが行います</t>
        </is>
      </c>
    </row>
    <row r="33" ht="24" customHeight="1">
      <c r="C33" s="58" t="inlineStr">
        <is>
          <t>▶ マクロ実行: 「メンバー追加」</t>
        </is>
      </c>
    </row>
    <row r="34" ht="20" customHeight="1">
      <c r="C34" s="55" t="inlineStr">
        <is>
          <t xml:space="preserve">  → 次回から点数入力シートのプルダウンに表示されます。</t>
        </is>
      </c>
    </row>
    <row r="35" ht="24" customHeight="1">
      <c r="B35" s="54" t="inlineStr">
        <is>
          <t>方法B（手動）｜ 設定シートを直接編集する</t>
        </is>
      </c>
    </row>
    <row r="36" ht="20" customHeight="1">
      <c r="C36" s="55" t="inlineStr">
        <is>
          <t>① シートタブを右クリック ▶ [再表示] ▶「設定」を選択</t>
        </is>
      </c>
    </row>
    <row r="37" ht="20" customHeight="1">
      <c r="C37" s="55" t="inlineStr">
        <is>
          <t>② 設定シートの A列（A2 以降）に名前を追記する</t>
        </is>
      </c>
    </row>
    <row r="38" ht="20" customHeight="1">
      <c r="C38" s="55" t="inlineStr">
        <is>
          <t>③ 設定シートを再び非表示にする（任意）</t>
        </is>
      </c>
      <c r="D38" s="56" t="inlineStr">
        <is>
          <t>右クリック ▶ [非表示]</t>
        </is>
      </c>
    </row>
    <row r="39" ht="24" customHeight="1">
      <c r="B39" s="54" t="inlineStr">
        <is>
          <t>注意事項</t>
        </is>
      </c>
    </row>
    <row r="40" ht="20" customHeight="1">
      <c r="C40" s="60" t="inlineStr">
        <is>
          <t>・メンバーを削除しても、既存の集計データは残ります（削除は手動でデータシートを編集）</t>
        </is>
      </c>
    </row>
    <row r="41" ht="20" customHeight="1">
      <c r="C41" s="60" t="inlineStr">
        <is>
          <t>・名前を変更した場合、過去データの名前は自動で変わりません。</t>
        </is>
      </c>
    </row>
    <row r="42" ht="8" customHeight="1"/>
    <row r="43" ht="32" customHeight="1">
      <c r="A43" s="53" t="inlineStr">
        <is>
          <t>🔧  その他の設定変更</t>
        </is>
      </c>
    </row>
    <row r="44" ht="24" customHeight="1">
      <c r="B44" s="54" t="inlineStr">
        <is>
          <t>ウマ・返し点を変更したい</t>
        </is>
      </c>
    </row>
    <row r="45" ht="20" customHeight="1">
      <c r="C45" s="55" t="inlineStr">
        <is>
          <t>設定シート D2〜D5：ウマの値（デフォルト +20 / +10 / -10 / -20）</t>
        </is>
      </c>
    </row>
    <row r="46" ht="20" customHeight="1">
      <c r="C46" s="55" t="inlineStr">
        <is>
          <t>設定シート C7：返し点（デフォルト 30000）</t>
        </is>
      </c>
      <c r="D46" s="56" t="inlineStr">
        <is>
          <t>変更後は既存シートのウマ・収支も再計算されます</t>
        </is>
      </c>
    </row>
    <row r="47" ht="8" customHeight="1"/>
    <row r="48" ht="30" customHeight="1">
      <c r="A48" s="61" t="inlineStr">
        <is>
          <t>▼ VBAコード（以下を全選択 → コピーして標準モジュールに貼り付け）</t>
        </is>
      </c>
    </row>
    <row r="49" ht="15" customHeight="1">
      <c r="A49" s="62" t="inlineStr">
        <is>
          <t>' ============================================================
' 麻雀部成績管理 - VBAコード（Alt+F11 で貼り付け）
' ============================================================
' 標準モジュールに貼り付けて使ってください。
' その後 [開発タブ] &gt; [マクロ] から実行できます。
' ボタンにマクロを割り当てると便利です。
' ============================================================
' ----------------------------------------------------------
' 【シーン: メンバーを追加したい】
' 参加者を「設定」シートのリストに追加する
' ----------------------------------------------------------
Sub メンバー追加()
    Dim newName As String
    newName = InputBox("追加するメンバーの名前を入力してください。", "メンバー追加")
    If newName = "" Then Exit Sub
    Dim wsConfig As Worksheet: Set wsConfig = Sheets("設定")
    ' 重複チェック
    Dim lastRow As Long
    lastRow = wsConfig.Cells(wsConfig.Rows.Count, "A").End(xlUp).Row
    Dim i As Long
    For i = 2 To lastRow
        If wsConfig.Cells(i, 1).Value = newName Then
            MsgBox "「" &amp; newName &amp; "」は既に登録されています。", vbExclamation
            Exit Sub
        End If
    Next i
    ' 末尾に追加
    wsConfig.Cells(lastRow + 1, 1).Value = newName
    MsgBox "「" &amp; newName &amp; "」を追加しました！" &amp; vbCrLf &amp; _
           "次回から入力シートのプルダウンに表示されます。", vbInformation
End Sub
' ----------------------------------------------------------
' 【シーン: 点数を記載したい】4人用シートを新規作成
' ----------------------------------------------------------
Sub 新規シート_4人()
    Dim num As String
    Dim dt  As String
    num = InputBox("回数を入力してください（例: 3）", "新規セッション作成")
    If num = "" Then Exit Sub
    dt = InputBox("日付を入力してください（例: 2024/03/15）", "日付入力", Format(Date, "yyyy/mm/dd"))
    If dt = "" Then Exit Sub
    Dim srcName As String: srcName = "第1回(4人用サンプル)"
    Dim newName As String: newName = "第" &amp; num &amp; "回(4人)"
    If SheetExists(newName) Then
        MsgBox "「" &amp; newName &amp; "」は既に存在します。", vbExclamation: Exit Sub
    End If
    Sheets(srcName).Copy After:=Sheets(Sheets.Count)
    With ActiveSheet
        .Name = newName
        .Range("B2").Value = CDate(dt)
        .Range("E2").Value = CLng(num)
        .Range("A6:F9").ClearContents
    End With
    MsgBox "「" &amp; newName &amp; "」を作成しました！", vbInformation
End Sub
' ----------------------------------------------------------
' 【シーン: 点数を記載したい】8人用シートを新規作成
' ----------------------------------------------------------
Sub 新規シート_8人()
    Dim num As String
    Dim dt  As String
    num = InputBox("回数を入力してください（例: 3）", "新規セッション作成")
    If num = "" Then Exit Sub
    dt = InputBox("日付を入力してください（例: 2024/03/15）", "日付入力", Format(Date, "yyyy/mm/dd"))
    If dt = "" Then Exit Sub
    Dim srcName As String: srcName = "第1回(8人用サンプル)"
    Dim newName As String: newName = "第" &amp; num &amp; "回(8人)"
    If SheetExists(newName) Then
        MsgBox "「" &amp; newName &amp; "」は既に存在します。", vbExclamation: Exit Sub
    End If
    Sheets(srcName).Copy After:=Sheets(Sheets.Count)
    With ActiveSheet
        .Name = newName
        .Range("B2").Value = CDate(dt)
        .Range("E2").Value = CLng(num)
        .Range("A6:F9").ClearContents
        .Range("A15:F18").ClearContents
    End With
    MsgBox "「" &amp; newName &amp; "」を作成しました！", vbInformation
End Sub
' ----------------------------------------------------------
' 【シーン: 点数を記載したい】アクティブシートのデータを集計
' ----------------------------------------------------------
Sub 集計に追加()
    Dim ws     As Worksheet: Set ws = ActiveSheet
    Dim wsData As Worksheet: Set wsData = Sheets("データ")
    Dim num  As Variant: num  = ws.Range("E2").Value
    Dim dt   As Variant: dt   = ws.Range("B2").Value
    If num = "" Or num = 0 Then
        MsgBox "回数（E2セル）を入力してください。", vbExclamation: Exit Sub
    End If
    If dt = "" Then
        MsgBox "日付（B2セル）を入力してください。", vbExclamation: Exit Sub
    End If
    ' 既存データを確認
    If Application.CountIf(wsData.Columns("A"), num) &gt; 0 Then
        If MsgBox("第" &amp; num &amp; "回のデータは既に登録されています。上書きしますか？", _
                  vbYesNo + vbQuestion, "上書き確認") = vbNo Then Exit Sub
        ' 削除
        Dim i As Long
        For i = wsData.Cells(wsData.Rows.Count, "A").End(xlUp).Row To 2 Step -1
            If wsData.Cells(i, "A").Value = num Then wsData.Rows(i).Delete
        Next i
    End If
    Dim lastRow As Long
    Dim r As Integer
    ' ── 4人シート判定（8人 or 4人）
    Dim is8player As Boolean
    is8player = (InStr(ws.Name, "8人") &gt; 0 Or ws.Range("A13").Value &lt;&gt; "")
    If is8player Then
        ' A卓 (行6-9)
        For r = 6 To 9
            Call WriteRow(wsData, num, dt, ws, r, "A")
        Next r
        ' B卓 (行15-18)
        For r = 15 To 18
            Call WriteRow(wsData, num, dt, ws, r, "B")
        Next r
    Else
        ' 4人 (行6-9)
        For r = 6 To 9
            Call WriteRow(wsData, num, dt, ws, r, "-")
        Next r
    End If
    MsgBox "集計に追加しました！  マスターシートを確認してください。", vbInformation
End Sub
' ----------------------------------------------------------
' 1行書き込みサブルーチン
' ----------------------------------------------------------
Private Sub WriteRow(wsData As Worksheet, num As Variant, dt As Variant, _
                     ws As Worksheet, r As Integer, taku As String)
    Dim nm As String: nm = ws.Cells(r, 1).Value
    If nm = "" Then Exit Sub
    Dim lastRow As Long
    lastRow = wsData.Cells(wsData.Rows.Count, "A").End(xlUp).Row + 1
    wsData.Cells(lastRow, 1).Value = num
    wsData.Cells(lastRow, 2).Value = dt
    wsData.Cells(lastRow, 2).NumberFormat = "yyyy/mm/dd"
    wsData.Cells(lastRow, 3).Value = nm
    wsData.Cells(lastRow, 4).Value = taku
    wsData.Cells(lastRow, 5).Value = ws.Cells(r, 2).Value  ' 順位
    wsData.Cells(lastRow, 6).Value = ws.Cells(r, 3).Value  ' 点数
End Sub
' ----------------------------------------------------------
' シート存在確認
' ----------------------------------------------------------
Private Function SheetExists(nm As String) As Boolean
    Dim s As Worksheet
    On Error Resume Next
    Set s = Sheets(nm)
    SheetExists = Not s Is Nothing
    On Error GoTo 0
End Function</t>
        </is>
      </c>
    </row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mergeCells count="21">
    <mergeCell ref="B14:D14"/>
    <mergeCell ref="C33:D33"/>
    <mergeCell ref="A4:D4"/>
    <mergeCell ref="A43:D43"/>
    <mergeCell ref="B44:D44"/>
    <mergeCell ref="A13:D13"/>
    <mergeCell ref="B10:D10"/>
    <mergeCell ref="C16:D16"/>
    <mergeCell ref="A48:D48"/>
    <mergeCell ref="A30:D30"/>
    <mergeCell ref="A49:D159"/>
    <mergeCell ref="B20:D20"/>
    <mergeCell ref="A1:D1"/>
    <mergeCell ref="B5:D5"/>
    <mergeCell ref="C27:D27"/>
    <mergeCell ref="B35:D35"/>
    <mergeCell ref="B25:D25"/>
    <mergeCell ref="B31:D31"/>
    <mergeCell ref="A2:D2"/>
    <mergeCell ref="C18:D18"/>
    <mergeCell ref="B39:D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2026-03-19T07:40:02Z</dcterms:created>
  <dcterms:modified xsi:type="dcterms:W3CDTF">2026-03-19T07:40:02Z</dcterms:modified>
</cp:coreProperties>
</file>